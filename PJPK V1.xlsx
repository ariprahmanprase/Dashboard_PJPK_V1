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ASLI" sheetId="1" r:id="rId5"/>
    <sheet state="visible" name="LOOKER_MASTER" sheetId="2" r:id="rId6"/>
    <sheet state="visible" name="LOOKER_WIDE" sheetId="3" r:id="rId7"/>
    <sheet state="visible" name="DATA_OPD" sheetId="4" r:id="rId8"/>
    <sheet state="visible" name="DATA_RENAKSI" sheetId="5" r:id="rId9"/>
    <sheet state="visible" name="LOOKER_RENAKSI" sheetId="6" r:id="rId10"/>
    <sheet state="visible" name="TUTORIAL BLEND LOOKER" sheetId="7" r:id="rId11"/>
  </sheets>
  <definedNames/>
  <calcPr/>
</workbook>
</file>

<file path=xl/sharedStrings.xml><?xml version="1.0" encoding="utf-8"?>
<sst xmlns="http://schemas.openxmlformats.org/spreadsheetml/2006/main" count="1777" uniqueCount="270">
  <si>
    <t>Kode</t>
  </si>
  <si>
    <t>Nama Indikator</t>
  </si>
  <si>
    <t>Pilar</t>
  </si>
  <si>
    <t>Satuan</t>
  </si>
  <si>
    <t>Target 2025</t>
  </si>
  <si>
    <t>Target 2026</t>
  </si>
  <si>
    <t>Target 2027</t>
  </si>
  <si>
    <t>Target 2028</t>
  </si>
  <si>
    <t>Target 2029</t>
  </si>
  <si>
    <t>Capaian 2025</t>
  </si>
  <si>
    <t>Capaian 2026</t>
  </si>
  <si>
    <t>Capaian 2027</t>
  </si>
  <si>
    <t>Capaian 2028</t>
  </si>
  <si>
    <t>Capaian 2029</t>
  </si>
  <si>
    <t>Gap Capaian 2025</t>
  </si>
  <si>
    <t>P1-01</t>
  </si>
  <si>
    <t>Total Fertility Rate (TFR)</t>
  </si>
  <si>
    <t>Pilar 1: Kuantitas Penduduk</t>
  </si>
  <si>
    <t>Anak/WUS</t>
  </si>
  <si>
    <t>P1-02</t>
  </si>
  <si>
    <t>ASFR 15-19 Tahun</t>
  </si>
  <si>
    <t>/1000 WUS</t>
  </si>
  <si>
    <t>P1-03</t>
  </si>
  <si>
    <t>Proporsi KB Modern</t>
  </si>
  <si>
    <t>%</t>
  </si>
  <si>
    <t>P2-04</t>
  </si>
  <si>
    <t>Rata-Rata Lama Sekolah (RLS)</t>
  </si>
  <si>
    <t>Pilar 2: Kualitas Penduduk</t>
  </si>
  <si>
    <t>Tahun</t>
  </si>
  <si>
    <t>P2-05</t>
  </si>
  <si>
    <t>APK Perguruan Tinggi</t>
  </si>
  <si>
    <t>P2-06</t>
  </si>
  <si>
    <t>Pekerja Lulusan Sesuai Bidang</t>
  </si>
  <si>
    <t>P2-07</t>
  </si>
  <si>
    <t>Prevalensi Stunting</t>
  </si>
  <si>
    <t>P2-08</t>
  </si>
  <si>
    <t>Angka Kematian Bayi (AKB)</t>
  </si>
  <si>
    <t>/1000 KH</t>
  </si>
  <si>
    <t>P2-09</t>
  </si>
  <si>
    <t>Angka Kematian Ibu (AKI)</t>
  </si>
  <si>
    <t>/100.000 KH</t>
  </si>
  <si>
    <t>P2-10</t>
  </si>
  <si>
    <t>Tingkat Kemiskinan</t>
  </si>
  <si>
    <t>P2-11</t>
  </si>
  <si>
    <t>TPAK Perempuan</t>
  </si>
  <si>
    <t>P2-12</t>
  </si>
  <si>
    <t>Pekerja Informal</t>
  </si>
  <si>
    <t>P2-13</t>
  </si>
  <si>
    <t>Penyandang Disabilitas Formal</t>
  </si>
  <si>
    <t>P2-14</t>
  </si>
  <si>
    <t>Gini Ratio</t>
  </si>
  <si>
    <t>Indeks</t>
  </si>
  <si>
    <t>P2-15</t>
  </si>
  <si>
    <t>PDRB Per Kapita</t>
  </si>
  <si>
    <t>Rp Juta</t>
  </si>
  <si>
    <t>P2-16</t>
  </si>
  <si>
    <t>TPT (Pengangguran Terbuka)</t>
  </si>
  <si>
    <t>3,38-2,38</t>
  </si>
  <si>
    <t>P2-17</t>
  </si>
  <si>
    <t>Penambahan Wajib Pajak</t>
  </si>
  <si>
    <t>P3-18</t>
  </si>
  <si>
    <t>Indeks iBangga</t>
  </si>
  <si>
    <t>Pilar 3: Pembangunan Keluarga</t>
  </si>
  <si>
    <t>P3-19</t>
  </si>
  <si>
    <t>Indeks Perlindungan Anak</t>
  </si>
  <si>
    <t>P3-20</t>
  </si>
  <si>
    <t>RT Akses Hunian Layak</t>
  </si>
  <si>
    <t>P3-21</t>
  </si>
  <si>
    <t>RT Akses Sanitasi Aman</t>
  </si>
  <si>
    <t>P3-22</t>
  </si>
  <si>
    <t>Indeks Lansia Berdaya</t>
  </si>
  <si>
    <t>P3-23</t>
  </si>
  <si>
    <t>Indeks Pengasuhan Remaja</t>
  </si>
  <si>
    <t>P3-24</t>
  </si>
  <si>
    <t>Cakupan JKN</t>
  </si>
  <si>
    <t>P4-25</t>
  </si>
  <si>
    <t>Kampung KB Mandiri</t>
  </si>
  <si>
    <t>Pilar 4: Persebaran Penduduk</t>
  </si>
  <si>
    <t>P4-26</t>
  </si>
  <si>
    <t>Kepadatan Penduduk</t>
  </si>
  <si>
    <t>Jiwa/km²</t>
  </si>
  <si>
    <t>P5-27</t>
  </si>
  <si>
    <t>Akta Kelahiran Balita</t>
  </si>
  <si>
    <t>Pilar 5: Administrasi Kependudukan</t>
  </si>
  <si>
    <t>P5-28</t>
  </si>
  <si>
    <t>Akta Cerai</t>
  </si>
  <si>
    <t>P5-29</t>
  </si>
  <si>
    <t>Akta Nikah</t>
  </si>
  <si>
    <t>P5-30</t>
  </si>
  <si>
    <t>Akta Kematian</t>
  </si>
  <si>
    <t>LOOKER_MASTER — Format Long: 1 baris per Indikator × Tahun | Kunci Blend: Kode + Tahun + Nama_OPD</t>
  </si>
  <si>
    <t>CARA PAKAI: Import ke Looker Studio → Data Source utama. Blend dengan LOOKER_RENAKSI via kolom Kode + Tahun + Nama_OPD. Metric pakai Average.</t>
  </si>
  <si>
    <t>No_Pilar</t>
  </si>
  <si>
    <t>Nama_Pilar</t>
  </si>
  <si>
    <t>Nama_Indikator</t>
  </si>
  <si>
    <t>Nama_OPD</t>
  </si>
  <si>
    <t>Target</t>
  </si>
  <si>
    <t>Capaian</t>
  </si>
  <si>
    <t>Gap</t>
  </si>
  <si>
    <t>Pct_Gap</t>
  </si>
  <si>
    <t>Lower_Better</t>
  </si>
  <si>
    <t>Status_TL_Indikator</t>
  </si>
  <si>
    <t>Warna_TL</t>
  </si>
  <si>
    <t>Keterangan</t>
  </si>
  <si>
    <t>DP3AKB</t>
  </si>
  <si>
    <t>Ya</t>
  </si>
  <si>
    <t>Data tersedia</t>
  </si>
  <si>
    <t>Menunggu laporan OPD</t>
  </si>
  <si>
    <t>Tidak</t>
  </si>
  <si>
    <t>Rata-Rata Lama Sekolah</t>
  </si>
  <si>
    <t>Disdik</t>
  </si>
  <si>
    <t>Belum Diisi</t>
  </si>
  <si>
    <t>Abu</t>
  </si>
  <si>
    <t>Target belum ditetapkan</t>
  </si>
  <si>
    <t>Disnaker</t>
  </si>
  <si>
    <t>Dinkes</t>
  </si>
  <si>
    <t>Bappeda</t>
  </si>
  <si>
    <t>BPPKAD</t>
  </si>
  <si>
    <t>Disperkim</t>
  </si>
  <si>
    <t>DPUPR</t>
  </si>
  <si>
    <t>Jiwa/km2</t>
  </si>
  <si>
    <t>Dukcapil</t>
  </si>
  <si>
    <t>LOOKER_WIDE — 1 baris per Indikator (untuk Scorecard &amp; Tabel tanpa redundan) | Kunci Blend: Kode + Nama_OPD</t>
  </si>
  <si>
    <t>CARA PAKAI: Gunakan untuk tabel 30 indikator dan scorecard. Blend dengan LOOKER_RENAKSI via Kode + Nama_OPD.</t>
  </si>
  <si>
    <t>Identifikasi</t>
  </si>
  <si>
    <t>Target per Tahun</t>
  </si>
  <si>
    <t>Capaian per Tahun (diisi OPD)</t>
  </si>
  <si>
    <t>Gap &amp; Status 2025</t>
  </si>
  <si>
    <t>No</t>
  </si>
  <si>
    <t>No
Pilar</t>
  </si>
  <si>
    <t>T_2025</t>
  </si>
  <si>
    <t>T_2026</t>
  </si>
  <si>
    <t>T_2027</t>
  </si>
  <si>
    <t>T_2028</t>
  </si>
  <si>
    <t>T_2029</t>
  </si>
  <si>
    <t>C_2025</t>
  </si>
  <si>
    <t>C_2026</t>
  </si>
  <si>
    <t>C_2027</t>
  </si>
  <si>
    <t>C_2028</t>
  </si>
  <si>
    <t>C_2029</t>
  </si>
  <si>
    <t>Gap
2025</t>
  </si>
  <si>
    <t>% Gap
2025</t>
  </si>
  <si>
    <t>Status_TL
2025</t>
  </si>
  <si>
    <t>Warna_TL
2025</t>
  </si>
  <si>
    <t>DATA_OPD — Master OPD &amp; Indikator yang Dipegang | Kunci Blend: Nama_OPD + Kode</t>
  </si>
  <si>
    <t>INPUT: Isi kolom Status OPD bebas. Nama_OPD HARUS SAMA PERSIS dengan LOOKER_MASTER &amp; LOOKER_RENAKSI (case sensitive). Tidak mempengaruhi skor.</t>
  </si>
  <si>
    <t>Status OPD
(keterangan bebas)</t>
  </si>
  <si>
    <t>Lower
Better</t>
  </si>
  <si>
    <t>Kolaborasi OPD</t>
  </si>
  <si>
    <t>💡 Contoh Status OPD: 'Aktif melaporkan', 'Menunggu data', 'Kolaborasi aktif'. ⚠️ Nama_OPD di kolom B harus persis sama dengan di LOOKER_MASTER dan DATA_RENAKSI.</t>
  </si>
  <si>
    <t>DATA_RENAKSI — Input Rencana Aksi OPD | Nama_OPD + Kode + Tahun = kunci link ke LOOKER_RENAKSI</t>
  </si>
  <si>
    <t>INPUT: Tambah baris baru untuk setiap kegiatan. Status WAJIB persis: 'Terlaksana' atau 'Tidak Terlaksana'. Nama_OPD HARUS SAMA PERSIS dengan kolom Nama_OPD di LOOKER_MASTER.</t>
  </si>
  <si>
    <t>Nama Kegiatan / Rencana Aksi</t>
  </si>
  <si>
    <t>Status
(Terlaksana /
Tidak Terlaksana)</t>
  </si>
  <si>
    <t>Publikasi data TFR kabupaten</t>
  </si>
  <si>
    <t>Terlaksana</t>
  </si>
  <si>
    <t>Dipresentasikan di rapat PJPK</t>
  </si>
  <si>
    <t>—</t>
  </si>
  <si>
    <t>Monitoring peserta KB aktif</t>
  </si>
  <si>
    <t>Data divalidasi bersama Puskesmas</t>
  </si>
  <si>
    <t>Sosialisasi KB ke kecamatan</t>
  </si>
  <si>
    <t>Tidak Terlaksana</t>
  </si>
  <si>
    <t>Anggaran belum cair</t>
  </si>
  <si>
    <t>Distribusi alat KB gratis</t>
  </si>
  <si>
    <t>18 kecamatan terlayani</t>
  </si>
  <si>
    <t>Pelatihan bidan KB</t>
  </si>
  <si>
    <t>120 bidan terlatih</t>
  </si>
  <si>
    <t>Survei stunting tingkat desa</t>
  </si>
  <si>
    <t>15 desa sudah disurvei</t>
  </si>
  <si>
    <t>Pelatihan kader posyandu</t>
  </si>
  <si>
    <t>200 kader terlatih</t>
  </si>
  <si>
    <t>Perbaikan gizi balita</t>
  </si>
  <si>
    <t>Menunggu distribusi PMT</t>
  </si>
  <si>
    <t>Pengumpulan data iBangga</t>
  </si>
  <si>
    <t>18 kecamatan selesai</t>
  </si>
  <si>
    <t>Verifikasi data lapangan</t>
  </si>
  <si>
    <t>Petugas belum lengkap</t>
  </si>
  <si>
    <t>Jemput bola akta kelahiran</t>
  </si>
  <si>
    <t>5.000 balita terlayani</t>
  </si>
  <si>
    <t>Sosialisasi kepemilikan akta</t>
  </si>
  <si>
    <t>Di 18 kecamatan</t>
  </si>
  <si>
    <t>Integrasi data RS-Dukcapil</t>
  </si>
  <si>
    <t>Sistem sudah terhubung</t>
  </si>
  <si>
    <t>💡 Cara tambah kegiatan: tambah baris baru, isi kolom A-J. Status WAJIB: 'Terlaksana' atau 'Tidak Terlaksana' (persis). LOOKER_RENAKSI otomatis menghitung ulang. ⚠️ Nama_OPD harus persis sama dengan di LOOKER_MASTER.</t>
  </si>
  <si>
    <t>LOOKER_RENAKSI — Agregasi Rencana Aksi | Kunci Blend: Nama_OPD + Kode + Tahun + Nama_Pilar</t>
  </si>
  <si>
    <t>⚠️ FORMULA SHEET — Kolom H-L otomatis dari DATA_RENAKSI. Jangan edit manual kolom H-L. Tambah baris baru jika ada kombinasi Nama_OPD+Kode+Tahun baru. Nama_Pilar wajib diisi teks lengkap.</t>
  </si>
  <si>
    <t>Total
Kegiatan</t>
  </si>
  <si>
    <t>% Terlaksana</t>
  </si>
  <si>
    <t>Status
Traffic Light</t>
  </si>
  <si>
    <t>Data
Lengkap</t>
  </si>
  <si>
    <t>💡 Cara tambah baris: copy 1 baris → paste di bawah → edit Nama_OPD (B), Kode (F), Tahun (G) → kolom H-L otomatis hitung. Blend di Looker Studio: join key = Nama_OPD + Kode + Tahun.</t>
  </si>
  <si>
    <t>TUTORIAL FINAL: Satu Filter Mengontrol Semua Data — Setup Data Blending di Looker Studio</t>
  </si>
  <si>
    <t>KONSEP: MENGAPA BLEND?</t>
  </si>
  <si>
    <t>→</t>
  </si>
  <si>
    <t>Filter OPD → kontrol semua komponen sekaligus</t>
  </si>
  <si>
    <t>Tanpa blend: filter di chart A tidak mempengaruhi chart B. Dengan blend: satu filter OPD klik → tabel indikator + tabel renaksi + scorecard + chart SEMUA ikut berubah.</t>
  </si>
  <si>
    <t>Ini inti dari permintaan Anda</t>
  </si>
  <si>
    <t>LANGKAH 1: CONNECT 3 DATA SOURCE</t>
  </si>
  <si>
    <t>Connect LOOKER_MASTER</t>
  </si>
  <si>
    <t>Resource → Manage data sources → + Add → Google Sheets → LOOKER_MASTER → Connect</t>
  </si>
  <si>
    <t>Data source utama</t>
  </si>
  <si>
    <t>Connect LOOKER_WIDE</t>
  </si>
  <si>
    <t>Ulangi → pilih sheet LOOKER_WIDE → Connect</t>
  </si>
  <si>
    <t>Untuk tabel 30 baris tanpa redundan</t>
  </si>
  <si>
    <t>Connect LOOKER_RENAKSI</t>
  </si>
  <si>
    <t>Ulangi → pilih sheet LOOKER_RENAKSI → Connect</t>
  </si>
  <si>
    <t>Untuk tabel rencana aksi</t>
  </si>
  <si>
    <t>LANGKAH 2: BUAT BLENDED DATA SOURCE</t>
  </si>
  <si>
    <t>Buka menu Blend</t>
  </si>
  <si>
    <t>Resource → Manage blended data → + Add a data blend</t>
  </si>
  <si>
    <t>Blend 1: MASTER + RENAKSI</t>
  </si>
  <si>
    <t>Data source 1: LOOKER_MASTER | Data source 2: LOOKER_RENAKSI</t>
  </si>
  <si>
    <t>Untuk chart yang butuh data indikator + renaksi</t>
  </si>
  <si>
    <t>Set Join Key Blend 1</t>
  </si>
  <si>
    <t>Join condition: Nama_OPD = Nama_OPD | Kode = Kode | Tahun = Tahun</t>
  </si>
  <si>
    <t>Ketiga kolom ini HARUS SAMA PERSIS nilainya</t>
  </si>
  <si>
    <t>Join type: Left Outer</t>
  </si>
  <si>
    <t>Pilih Left Outer Join → semua indikator tetap muncul walau belum ada renaksinya</t>
  </si>
  <si>
    <t>Blend 2: WIDE + RENAKSI</t>
  </si>
  <si>
    <t>Buat blend baru → Data source 1: LOOKER_WIDE | Data source 2: LOOKER_RENAKSI</t>
  </si>
  <si>
    <t>Join key: Nama_OPD + Kode (tanpa Tahun karena WIDE tidak punya kolom Tahun)</t>
  </si>
  <si>
    <t>LANGKAH 3: BUAT FILTER CONTROL TERPUSAT</t>
  </si>
  <si>
    <t>Insert Filter Control: OPD</t>
  </si>
  <si>
    <t>Insert → Filter Control → drag di pojok kiri atas dashboard</t>
  </si>
  <si>
    <t>Set Dimension Filter OPD</t>
  </si>
  <si>
    <t>Data source: LOOKER_MASTER → Dimension: Nama_OPD</t>
  </si>
  <si>
    <t>Insert Filter Control: Pilar</t>
  </si>
  <si>
    <t>Insert → Filter Control → Dimension: Nama_Pilar → Data source: LOOKER_MASTER</t>
  </si>
  <si>
    <t>Insert Filter Control: Tahun</t>
  </si>
  <si>
    <t>Insert → Filter Control → Dimension: Tahun → Data source: LOOKER_MASTER</t>
  </si>
  <si>
    <t>Insert Filter Control: Status TL</t>
  </si>
  <si>
    <t>Insert → Filter Control → Dimension: Status_TL_Indikator → Data source: LOOKER_MASTER</t>
  </si>
  <si>
    <t>LANGKAH 4: HUBUNGKAN FILTER KE SEMUA KOMPONEN</t>
  </si>
  <si>
    <t>Klik komponen chart/tabel manapun</t>
  </si>
  <si>
    <t>Klik chart → di panel kanan scroll ke bawah → cari 'Filter' section</t>
  </si>
  <si>
    <t>Tambahkan Cross-filter</t>
  </si>
  <si>
    <t>Klik 'Add a cross-filter' → pilih filter yang sudah dibuat (OPD, Pilar, Tahun, Status)</t>
  </si>
  <si>
    <t>Lakukan untuk SETIAP chart dan tabel</t>
  </si>
  <si>
    <t>Verifikasi koneksi</t>
  </si>
  <si>
    <t>Klik filter OPD = 'Dinkes' → semua chart harus berubah sekaligus</t>
  </si>
  <si>
    <t>Jika ada yang tidak berubah → cek apakah join key sudah benar</t>
  </si>
  <si>
    <t>LANGKAH 5: BUAT KOMPONEN DASHBOARD</t>
  </si>
  <si>
    <t>Tabel indikator (30 baris)</t>
  </si>
  <si>
    <t>Data source: LOOKER_WIDE | Dimension: Kode, Nama Indikator, Nama_OPD | Metric: T_2025, C_2025, Gap 2025, Status_TL</t>
  </si>
  <si>
    <t>Tabel rencana aksi</t>
  </si>
  <si>
    <t>Data source: LOOKER_RENAKSI | Dimension: Nama_OPD, Kode, Tahun, Nama Kegiatan | Metric: % Terlaksana (Avg), Status TL</t>
  </si>
  <si>
    <t>Scorecard On Track indikator</t>
  </si>
  <si>
    <t>Data source: LOOKER_MASTER | Metric: Record Count | Filter: Status_TL_Indikator = On Track AND Tahun = 2025</t>
  </si>
  <si>
    <t>Scorecard On Track renaksi</t>
  </si>
  <si>
    <t>Data source: LOOKER_RENAKSI | Metric: Record Count | Filter: Status Traffic Light = On Track</t>
  </si>
  <si>
    <t>Bar chart % keterlaksanaan OPD</t>
  </si>
  <si>
    <t>Data source: LOOKER_RENAKSI | Dimension: Nama_OPD | Metric: % Terlaksana (Average)</t>
  </si>
  <si>
    <t>Line chart tren indikator</t>
  </si>
  <si>
    <t>Data source: LOOKER_MASTER | Dimension: Tahun | Metric: Target (Avg), Capaian (Avg) | Filter: Kode = pilihan</t>
  </si>
  <si>
    <t>Tambahkan Filter Control Kode agar bisa ganti indikator</t>
  </si>
  <si>
    <t>LANGKAH 6: UPDATE DATA SETIAP TAHUN</t>
  </si>
  <si>
    <t>Tambah data renaksi 2026</t>
  </si>
  <si>
    <t>Buka Google Sheets → DATA_RENAKSI → tambah baris baru → Tahun=2026</t>
  </si>
  <si>
    <t>Tambah baris LOOKER_RENAKSI 2026</t>
  </si>
  <si>
    <t>LOOKER_RENAKSI → copy baris ada → paste → edit Tahun=2026 → H-L otomatis hitung</t>
  </si>
  <si>
    <t>Ganti Filter Tahun ke 2026</t>
  </si>
  <si>
    <t>Di Looker Studio → klik Filter Control Tahun → pilih 2026 → semua update otomatis</t>
  </si>
  <si>
    <t>Tidak perlu konfigurasi ulang apapun</t>
  </si>
  <si>
    <t>CATATAN PENTING — JAGA KONSISTENSI NAMA</t>
  </si>
  <si>
    <t>Nama_OPD HARUS SAMA PERSIS di semua sheet</t>
  </si>
  <si>
    <t>Contoh: 'DP3AKB' di LOOKER_MASTER harus persis 'DP3AKB' di DATA_RENAKSI dan LOOKER_RENAKSI. Jika berbeda (misal 'dp3akb' atau 'DP3 AKB') maka blend tidak akan menemukan pasangannya.</t>
  </si>
  <si>
    <t>⚠️ Ini penyebab blend tidak bekerja paling umum</t>
  </si>
  <si>
    <t>Kode HARUS SAMA PERSIS di semua sheet</t>
  </si>
  <si>
    <t>Contoh: 'P1-01' bukan 'p1-01' atau 'P1 01'. Gunakan copy-paste jangan ketik ulang.</t>
  </si>
  <si>
    <t>⚠️ Cek ini jika filter tidak bekerja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</si>
</sst>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##"/>
    <numFmt numFmtId="165" formatCode="\+0.00;\-0.00;\-"/>
    <numFmt numFmtId="166" formatCode="\+0.0%;\-0.0%;\-"/>
    <numFmt numFmtId="167" formatCode="0.0%"/>
  </numFmts>
  <fonts count="18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rgb="FFFFFFFF"/>
      <name val="Arial"/>
    </font>
    <font/>
    <font>
      <i/>
      <sz val="10.0"/>
      <color rgb="FF1B3A4B"/>
      <name val="Arial"/>
    </font>
    <font>
      <b/>
      <sz val="10.0"/>
      <color rgb="FFFFFFFF"/>
      <name val="Arial"/>
    </font>
    <font>
      <b/>
      <sz val="10.0"/>
      <color rgb="FF2E7D52"/>
      <name val="Arial"/>
    </font>
    <font>
      <sz val="10.0"/>
      <color rgb="FF000000"/>
      <name val="Arial"/>
    </font>
    <font>
      <b/>
      <sz val="10.0"/>
      <color rgb="FF000000"/>
      <name val="Arial"/>
    </font>
    <font>
      <i/>
      <sz val="10.0"/>
      <color rgb="FF888888"/>
      <name val="Arial"/>
    </font>
    <font>
      <b/>
      <sz val="10.0"/>
      <color rgb="FF1565C0"/>
      <name val="Arial"/>
    </font>
    <font>
      <b/>
      <sz val="10.0"/>
      <color rgb="FF6A1B9A"/>
      <name val="Arial"/>
    </font>
    <font>
      <b/>
      <sz val="10.0"/>
      <color rgb="FFBF360C"/>
      <name val="Arial"/>
    </font>
    <font>
      <b/>
      <sz val="10.0"/>
      <color rgb="FF880E4F"/>
      <name val="Arial"/>
    </font>
    <font>
      <i/>
      <sz val="10.0"/>
      <color rgb="FF555555"/>
      <name val="Arial"/>
    </font>
    <font>
      <b/>
      <sz val="12.0"/>
      <color rgb="FFFFFFFF"/>
      <name val="Arial"/>
    </font>
    <font>
      <i/>
      <sz val="10.0"/>
      <color rgb="FF6D5100"/>
      <name val="Arial"/>
    </font>
    <font>
      <sz val="10.0"/>
      <color rgb="FF888888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2E7D52"/>
        <bgColor rgb="FF2E7D52"/>
      </patternFill>
    </fill>
    <fill>
      <patternFill patternType="solid">
        <fgColor rgb="FF1565C0"/>
        <bgColor rgb="FF1565C0"/>
      </patternFill>
    </fill>
    <fill>
      <patternFill patternType="solid">
        <fgColor rgb="FF6A1B9A"/>
        <bgColor rgb="FF6A1B9A"/>
      </patternFill>
    </fill>
    <fill>
      <patternFill patternType="solid">
        <fgColor rgb="FFFFF9C4"/>
        <bgColor rgb="FFFFF9C4"/>
      </patternFill>
    </fill>
    <fill>
      <patternFill patternType="solid">
        <fgColor rgb="FFE0F2F1"/>
        <bgColor rgb="FFE0F2F1"/>
      </patternFill>
    </fill>
    <fill>
      <patternFill patternType="solid">
        <fgColor rgb="FFFCEBEB"/>
        <bgColor rgb="FFFCEBEB"/>
      </patternFill>
    </fill>
    <fill>
      <patternFill patternType="solid">
        <fgColor rgb="FFBF360C"/>
        <bgColor rgb="FFBF360C"/>
      </patternFill>
    </fill>
    <fill>
      <patternFill patternType="solid">
        <fgColor rgb="FF880E4F"/>
        <bgColor rgb="FF880E4F"/>
      </patternFill>
    </fill>
  </fills>
  <borders count="8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3" fontId="1" numFmtId="0" xfId="0" applyAlignment="1" applyBorder="1" applyFill="1" applyFont="1">
      <alignment shrinkToFit="0" vertical="bottom" wrapText="1"/>
    </xf>
    <xf borderId="1" fillId="3" fontId="1" numFmtId="0" xfId="0" applyAlignment="1" applyBorder="1" applyFont="1">
      <alignment horizontal="center" shrinkToFit="0" vertical="bottom" wrapText="1"/>
    </xf>
    <xf borderId="2" fillId="4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5" fontId="4" numFmtId="0" xfId="0" applyAlignment="1" applyBorder="1" applyFill="1" applyFont="1">
      <alignment horizontal="left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7" numFmtId="1" xfId="0" applyAlignment="1" applyBorder="1" applyFont="1" applyNumberFormat="1">
      <alignment horizontal="center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left" shrinkToFit="0" vertical="center" wrapText="1"/>
    </xf>
    <xf borderId="1" fillId="6" fontId="7" numFmtId="164" xfId="0" applyAlignment="1" applyBorder="1" applyFill="1" applyFont="1" applyNumberFormat="1">
      <alignment horizontal="center" shrinkToFit="0" vertical="center" wrapText="1"/>
    </xf>
    <xf borderId="1" fillId="5" fontId="7" numFmtId="164" xfId="0" applyAlignment="1" applyBorder="1" applyFont="1" applyNumberFormat="1">
      <alignment horizontal="center" shrinkToFit="0" vertical="center" wrapText="1"/>
    </xf>
    <xf borderId="1" fillId="2" fontId="7" numFmtId="165" xfId="0" applyAlignment="1" applyBorder="1" applyFont="1" applyNumberFormat="1">
      <alignment horizontal="center" shrinkToFit="0" vertical="center" wrapText="1"/>
    </xf>
    <xf borderId="1" fillId="2" fontId="7" numFmtId="166" xfId="0" applyAlignment="1" applyBorder="1" applyFont="1" applyNumberFormat="1">
      <alignment horizontal="center" shrinkToFit="0" vertical="center" wrapText="1"/>
    </xf>
    <xf borderId="1" fillId="6" fontId="7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3" fontId="7" numFmtId="1" xfId="0" applyAlignment="1" applyBorder="1" applyFont="1" applyNumberFormat="1">
      <alignment horizontal="center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left" shrinkToFit="0" vertical="center" wrapText="1"/>
    </xf>
    <xf borderId="1" fillId="2" fontId="7" numFmtId="164" xfId="0" applyAlignment="1" applyBorder="1" applyFont="1" applyNumberFormat="1">
      <alignment horizontal="center" shrinkToFit="0" vertical="center" wrapText="1"/>
    </xf>
    <xf borderId="1" fillId="3" fontId="7" numFmtId="165" xfId="0" applyAlignment="1" applyBorder="1" applyFont="1" applyNumberFormat="1">
      <alignment horizontal="center" shrinkToFit="0" vertical="center" wrapText="1"/>
    </xf>
    <xf borderId="1" fillId="3" fontId="7" numFmtId="166" xfId="0" applyAlignment="1" applyBorder="1" applyFont="1" applyNumberFormat="1">
      <alignment horizontal="center" shrinkToFit="0" vertical="center" wrapText="1"/>
    </xf>
    <xf borderId="1" fillId="2" fontId="9" numFmtId="0" xfId="0" applyAlignment="1" applyBorder="1" applyFont="1">
      <alignment horizontal="left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1" fillId="2" fontId="7" numFmtId="164" xfId="0" applyAlignment="1" applyBorder="1" applyFont="1" applyNumberFormat="1">
      <alignment horizontal="center" readingOrder="0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1" fillId="2" fontId="13" numFmtId="0" xfId="0" applyAlignment="1" applyBorder="1" applyFont="1">
      <alignment horizontal="center" shrinkToFit="0" vertical="center" wrapText="1"/>
    </xf>
    <xf borderId="1" fillId="3" fontId="13" numFmtId="0" xfId="0" applyAlignment="1" applyBorder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5" fillId="7" fontId="5" numFmtId="0" xfId="0" applyAlignment="1" applyBorder="1" applyFill="1" applyFont="1">
      <alignment horizontal="center" shrinkToFit="0" vertical="center" wrapText="1"/>
    </xf>
    <xf borderId="5" fillId="8" fontId="5" numFmtId="0" xfId="0" applyAlignment="1" applyBorder="1" applyFill="1" applyFont="1">
      <alignment horizontal="center" shrinkToFit="0" vertical="center" wrapText="1"/>
    </xf>
    <xf borderId="5" fillId="9" fontId="5" numFmtId="0" xfId="0" applyAlignment="1" applyBorder="1" applyFill="1" applyFont="1">
      <alignment horizontal="center" shrinkToFit="0" vertical="center" wrapText="1"/>
    </xf>
    <xf borderId="2" fillId="10" fontId="4" numFmtId="0" xfId="0" applyAlignment="1" applyBorder="1" applyFill="1" applyFont="1">
      <alignment horizontal="left" shrinkToFit="0" vertical="center" wrapText="1"/>
    </xf>
    <xf borderId="1" fillId="10" fontId="9" numFmtId="0" xfId="0" applyAlignment="1" applyBorder="1" applyFont="1">
      <alignment horizontal="left" shrinkToFit="0" vertical="center" wrapText="1"/>
    </xf>
    <xf borderId="2" fillId="11" fontId="4" numFmtId="0" xfId="0" applyAlignment="1" applyBorder="1" applyFill="1" applyFont="1">
      <alignment horizontal="left" shrinkToFit="0" vertical="center" wrapText="1"/>
    </xf>
    <xf borderId="1" fillId="6" fontId="8" numFmtId="0" xfId="0" applyAlignment="1" applyBorder="1" applyFont="1">
      <alignment horizontal="center" shrinkToFit="0" vertical="center" wrapText="1"/>
    </xf>
    <xf borderId="1" fillId="2" fontId="14" numFmtId="0" xfId="0" applyAlignment="1" applyBorder="1" applyFont="1">
      <alignment horizontal="left" shrinkToFit="0" vertical="center" wrapText="1"/>
    </xf>
    <xf borderId="1" fillId="3" fontId="14" numFmtId="0" xfId="0" applyAlignment="1" applyBorder="1" applyFont="1">
      <alignment horizontal="left" shrinkToFit="0" vertical="center" wrapText="1"/>
    </xf>
    <xf borderId="1" fillId="12" fontId="8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ont="1">
      <alignment shrinkToFit="0" vertical="bottom" wrapText="0"/>
    </xf>
    <xf borderId="1" fillId="10" fontId="7" numFmtId="0" xfId="0" applyAlignment="1" applyBorder="1" applyFont="1">
      <alignment shrinkToFit="0" vertical="bottom" wrapText="0"/>
    </xf>
    <xf borderId="1" fillId="3" fontId="7" numFmtId="0" xfId="0" applyAlignment="1" applyBorder="1" applyFont="1">
      <alignment shrinkToFit="0" vertical="bottom" wrapText="0"/>
    </xf>
    <xf borderId="2" fillId="12" fontId="4" numFmtId="0" xfId="0" applyAlignment="1" applyBorder="1" applyFont="1">
      <alignment horizontal="left" shrinkToFit="0" vertical="center" wrapText="1"/>
    </xf>
    <xf borderId="1" fillId="2" fontId="7" numFmtId="167" xfId="0" applyAlignment="1" applyBorder="1" applyFont="1" applyNumberFormat="1">
      <alignment horizontal="center" shrinkToFit="0" vertical="center" wrapText="1"/>
    </xf>
    <xf borderId="1" fillId="3" fontId="7" numFmtId="167" xfId="0" applyAlignment="1" applyBorder="1" applyFont="1" applyNumberFormat="1">
      <alignment horizontal="center" shrinkToFit="0" vertical="center" wrapText="1"/>
    </xf>
    <xf borderId="2" fillId="4" fontId="15" numFmtId="0" xfId="0" applyAlignment="1" applyBorder="1" applyFont="1">
      <alignment horizontal="center" shrinkToFit="0" vertical="center" wrapText="1"/>
    </xf>
    <xf borderId="5" fillId="4" fontId="2" numFmtId="0" xfId="0" applyAlignment="1" applyBorder="1" applyFont="1">
      <alignment horizontal="left" shrinkToFit="0" vertical="center" wrapText="0"/>
    </xf>
    <xf borderId="1" fillId="11" fontId="8" numFmtId="0" xfId="0" applyAlignment="1" applyBorder="1" applyFont="1">
      <alignment horizontal="center" shrinkToFit="0" vertical="center" wrapText="1"/>
    </xf>
    <xf borderId="1" fillId="11" fontId="8" numFmtId="0" xfId="0" applyAlignment="1" applyBorder="1" applyFont="1">
      <alignment horizontal="left" shrinkToFit="0" vertical="center" wrapText="1"/>
    </xf>
    <xf borderId="1" fillId="11" fontId="7" numFmtId="0" xfId="0" applyAlignment="1" applyBorder="1" applyFont="1">
      <alignment horizontal="left" shrinkToFit="0" vertical="center" wrapText="1"/>
    </xf>
    <xf borderId="1" fillId="10" fontId="16" numFmtId="0" xfId="0" applyAlignment="1" applyBorder="1" applyFont="1">
      <alignment horizontal="left" shrinkToFit="0" vertical="center" wrapText="1"/>
    </xf>
    <xf borderId="5" fillId="7" fontId="2" numFmtId="0" xfId="0" applyAlignment="1" applyBorder="1" applyFont="1">
      <alignment horizontal="left" shrinkToFit="0" vertical="center" wrapText="0"/>
    </xf>
    <xf borderId="1" fillId="3" fontId="8" numFmtId="1" xfId="0" applyAlignment="1" applyBorder="1" applyFont="1" applyNumberFormat="1">
      <alignment horizontal="center" shrinkToFit="0" vertical="center" wrapText="1"/>
    </xf>
    <xf borderId="1" fillId="2" fontId="8" numFmtId="1" xfId="0" applyAlignment="1" applyBorder="1" applyFont="1" applyNumberFormat="1">
      <alignment horizontal="center" shrinkToFit="0" vertical="center" wrapText="1"/>
    </xf>
    <xf borderId="5" fillId="8" fontId="2" numFmtId="0" xfId="0" applyAlignment="1" applyBorder="1" applyFont="1">
      <alignment horizontal="left" shrinkToFit="0" vertical="center" wrapText="0"/>
    </xf>
    <xf borderId="1" fillId="3" fontId="17" numFmtId="0" xfId="0" applyAlignment="1" applyBorder="1" applyFont="1">
      <alignment horizontal="left" shrinkToFit="0" vertical="center" wrapText="1"/>
    </xf>
    <xf borderId="1" fillId="2" fontId="17" numFmtId="0" xfId="0" applyAlignment="1" applyBorder="1" applyFont="1">
      <alignment horizontal="left" shrinkToFit="0" vertical="center" wrapText="1"/>
    </xf>
    <xf borderId="5" fillId="9" fontId="2" numFmtId="0" xfId="0" applyAlignment="1" applyBorder="1" applyFont="1">
      <alignment horizontal="left" shrinkToFit="0" vertical="center" wrapText="0"/>
    </xf>
    <xf borderId="5" fillId="13" fontId="2" numFmtId="0" xfId="0" applyAlignment="1" applyBorder="1" applyFill="1" applyFont="1">
      <alignment horizontal="left" shrinkToFit="0" vertical="center" wrapText="0"/>
    </xf>
    <xf borderId="5" fillId="14" fontId="2" numFmtId="0" xfId="0" applyAlignment="1" applyBorder="1" applyFill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8.13"/>
    <col customWidth="1" min="3" max="3" width="33.5"/>
    <col customWidth="1" min="4" max="4" width="14.25"/>
    <col customWidth="1" min="5" max="6" width="12.63"/>
    <col customWidth="1" min="11" max="11" width="14.38"/>
    <col customWidth="1" min="15" max="15" width="1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ht="15.75" customHeight="1">
      <c r="A3" s="2" t="s">
        <v>15</v>
      </c>
      <c r="B3" s="2" t="s">
        <v>16</v>
      </c>
      <c r="C3" s="2" t="s">
        <v>17</v>
      </c>
      <c r="D3" s="2" t="s">
        <v>18</v>
      </c>
      <c r="E3" s="3">
        <v>1.82</v>
      </c>
      <c r="F3" s="3">
        <v>1.83</v>
      </c>
      <c r="G3" s="3">
        <v>1.84</v>
      </c>
      <c r="H3" s="3">
        <v>1.85</v>
      </c>
      <c r="I3" s="3">
        <v>1.85</v>
      </c>
      <c r="J3" s="3">
        <v>1.96</v>
      </c>
      <c r="O3" s="1">
        <f t="shared" ref="O3:O5" si="1">SUM(J3-E3)</f>
        <v>0.14</v>
      </c>
    </row>
    <row r="4" ht="15.75" customHeight="1">
      <c r="A4" s="4" t="s">
        <v>19</v>
      </c>
      <c r="B4" s="4" t="s">
        <v>20</v>
      </c>
      <c r="C4" s="4" t="s">
        <v>17</v>
      </c>
      <c r="D4" s="4" t="s">
        <v>21</v>
      </c>
      <c r="E4" s="5">
        <v>17.29</v>
      </c>
      <c r="F4" s="5">
        <v>17.0</v>
      </c>
      <c r="G4" s="5">
        <v>17.0</v>
      </c>
      <c r="H4" s="5">
        <v>17.0</v>
      </c>
      <c r="I4" s="5">
        <v>17.0</v>
      </c>
      <c r="J4" s="5">
        <v>14.4</v>
      </c>
      <c r="O4" s="1">
        <f t="shared" si="1"/>
        <v>-2.89</v>
      </c>
    </row>
    <row r="5" ht="15.75" customHeight="1">
      <c r="A5" s="2" t="s">
        <v>22</v>
      </c>
      <c r="B5" s="2" t="s">
        <v>23</v>
      </c>
      <c r="C5" s="2" t="s">
        <v>17</v>
      </c>
      <c r="D5" s="2" t="s">
        <v>24</v>
      </c>
      <c r="E5" s="3">
        <v>77.0</v>
      </c>
      <c r="F5" s="3">
        <v>77.0</v>
      </c>
      <c r="G5" s="3">
        <v>77.0</v>
      </c>
      <c r="H5" s="3">
        <v>77.0</v>
      </c>
      <c r="I5" s="3">
        <v>77.0</v>
      </c>
      <c r="J5" s="3">
        <v>92.4</v>
      </c>
      <c r="O5" s="1">
        <f t="shared" si="1"/>
        <v>15.4</v>
      </c>
    </row>
    <row r="6" ht="15.75" customHeight="1">
      <c r="A6" s="4" t="s">
        <v>25</v>
      </c>
      <c r="B6" s="4" t="s">
        <v>26</v>
      </c>
      <c r="C6" s="4" t="s">
        <v>27</v>
      </c>
      <c r="D6" s="4" t="s">
        <v>28</v>
      </c>
      <c r="E6" s="5"/>
      <c r="F6" s="5"/>
      <c r="G6" s="5"/>
      <c r="H6" s="5"/>
      <c r="I6" s="5"/>
      <c r="J6" s="5"/>
    </row>
    <row r="7" ht="15.75" customHeight="1">
      <c r="A7" s="2" t="s">
        <v>29</v>
      </c>
      <c r="B7" s="2" t="s">
        <v>30</v>
      </c>
      <c r="C7" s="2" t="s">
        <v>27</v>
      </c>
      <c r="D7" s="2" t="s">
        <v>24</v>
      </c>
      <c r="E7" s="3"/>
      <c r="F7" s="3"/>
      <c r="G7" s="3"/>
      <c r="H7" s="3"/>
      <c r="I7" s="3"/>
      <c r="J7" s="3"/>
    </row>
    <row r="8" ht="15.75" customHeight="1">
      <c r="A8" s="4" t="s">
        <v>31</v>
      </c>
      <c r="B8" s="4" t="s">
        <v>32</v>
      </c>
      <c r="C8" s="4" t="s">
        <v>27</v>
      </c>
      <c r="D8" s="4" t="s">
        <v>24</v>
      </c>
      <c r="E8" s="5"/>
      <c r="F8" s="5"/>
      <c r="G8" s="5"/>
      <c r="H8" s="5"/>
      <c r="I8" s="5"/>
      <c r="J8" s="5"/>
    </row>
    <row r="9" ht="15.75" customHeight="1">
      <c r="A9" s="2" t="s">
        <v>33</v>
      </c>
      <c r="B9" s="2" t="s">
        <v>34</v>
      </c>
      <c r="C9" s="2" t="s">
        <v>27</v>
      </c>
      <c r="D9" s="2" t="s">
        <v>24</v>
      </c>
      <c r="E9" s="3">
        <v>4.34</v>
      </c>
      <c r="F9" s="3">
        <v>4.27</v>
      </c>
      <c r="G9" s="3">
        <v>4.24</v>
      </c>
      <c r="H9" s="3">
        <v>4.22</v>
      </c>
      <c r="I9" s="3">
        <v>4.15</v>
      </c>
      <c r="J9" s="3"/>
    </row>
    <row r="10" ht="15.75" customHeight="1">
      <c r="A10" s="4" t="s">
        <v>35</v>
      </c>
      <c r="B10" s="4" t="s">
        <v>36</v>
      </c>
      <c r="C10" s="4" t="s">
        <v>27</v>
      </c>
      <c r="D10" s="4" t="s">
        <v>37</v>
      </c>
      <c r="E10" s="5">
        <v>11.2</v>
      </c>
      <c r="F10" s="5">
        <v>11.0</v>
      </c>
      <c r="G10" s="5">
        <v>10.8</v>
      </c>
      <c r="H10" s="5">
        <v>10.6</v>
      </c>
      <c r="I10" s="5">
        <v>10.4</v>
      </c>
      <c r="J10" s="5"/>
    </row>
    <row r="11" ht="15.75" customHeight="1">
      <c r="A11" s="2" t="s">
        <v>38</v>
      </c>
      <c r="B11" s="2" t="s">
        <v>39</v>
      </c>
      <c r="C11" s="2" t="s">
        <v>27</v>
      </c>
      <c r="D11" s="2" t="s">
        <v>40</v>
      </c>
      <c r="E11" s="3">
        <v>106.0</v>
      </c>
      <c r="F11" s="3">
        <v>105.0</v>
      </c>
      <c r="G11" s="3">
        <v>104.0</v>
      </c>
      <c r="H11" s="3">
        <v>103.0</v>
      </c>
      <c r="I11" s="3">
        <v>102.0</v>
      </c>
      <c r="J11" s="3"/>
    </row>
    <row r="12" ht="15.75" customHeight="1">
      <c r="A12" s="4" t="s">
        <v>41</v>
      </c>
      <c r="B12" s="4" t="s">
        <v>42</v>
      </c>
      <c r="C12" s="4" t="s">
        <v>27</v>
      </c>
      <c r="D12" s="4" t="s">
        <v>24</v>
      </c>
      <c r="E12" s="5">
        <v>8.38</v>
      </c>
      <c r="F12" s="5">
        <v>8.12</v>
      </c>
      <c r="G12" s="5">
        <v>7.85</v>
      </c>
      <c r="H12" s="5">
        <v>7.58</v>
      </c>
      <c r="I12" s="5">
        <v>7.31</v>
      </c>
      <c r="J12" s="5"/>
    </row>
    <row r="13" ht="15.75" customHeight="1">
      <c r="A13" s="2" t="s">
        <v>43</v>
      </c>
      <c r="B13" s="2" t="s">
        <v>44</v>
      </c>
      <c r="C13" s="2" t="s">
        <v>27</v>
      </c>
      <c r="D13" s="2" t="s">
        <v>24</v>
      </c>
      <c r="E13" s="3">
        <v>54.41</v>
      </c>
      <c r="F13" s="3">
        <v>55.29</v>
      </c>
      <c r="G13" s="3">
        <v>56.18</v>
      </c>
      <c r="H13" s="3">
        <v>57.06</v>
      </c>
      <c r="I13" s="3">
        <v>57.95</v>
      </c>
      <c r="J13" s="3"/>
    </row>
    <row r="14" ht="15.75" customHeight="1">
      <c r="A14" s="4" t="s">
        <v>45</v>
      </c>
      <c r="B14" s="4" t="s">
        <v>46</v>
      </c>
      <c r="C14" s="4" t="s">
        <v>27</v>
      </c>
      <c r="D14" s="4" t="s">
        <v>24</v>
      </c>
      <c r="E14" s="5">
        <v>6.3</v>
      </c>
      <c r="F14" s="5">
        <v>6.31</v>
      </c>
      <c r="G14" s="5">
        <v>6.32</v>
      </c>
      <c r="H14" s="5">
        <v>6.33</v>
      </c>
      <c r="I14" s="5">
        <v>6.34</v>
      </c>
      <c r="J14" s="5"/>
    </row>
    <row r="15" ht="15.75" customHeight="1">
      <c r="A15" s="2" t="s">
        <v>47</v>
      </c>
      <c r="B15" s="2" t="s">
        <v>48</v>
      </c>
      <c r="C15" s="2" t="s">
        <v>27</v>
      </c>
      <c r="D15" s="2" t="s">
        <v>24</v>
      </c>
      <c r="E15" s="3">
        <v>0.024</v>
      </c>
      <c r="F15" s="3">
        <v>0.025</v>
      </c>
      <c r="G15" s="3">
        <v>0.026</v>
      </c>
      <c r="H15" s="3">
        <v>0.027</v>
      </c>
      <c r="I15" s="3">
        <v>0.028</v>
      </c>
      <c r="J15" s="3"/>
    </row>
    <row r="16" ht="15.75" customHeight="1">
      <c r="A16" s="4" t="s">
        <v>49</v>
      </c>
      <c r="B16" s="4" t="s">
        <v>50</v>
      </c>
      <c r="C16" s="4" t="s">
        <v>27</v>
      </c>
      <c r="D16" s="4" t="s">
        <v>51</v>
      </c>
      <c r="E16" s="5">
        <v>0.352</v>
      </c>
      <c r="F16" s="5">
        <v>0.341</v>
      </c>
      <c r="G16" s="5">
        <v>0.33</v>
      </c>
      <c r="H16" s="5">
        <v>0.319</v>
      </c>
      <c r="I16" s="5">
        <v>0.308</v>
      </c>
      <c r="J16" s="5"/>
    </row>
    <row r="17" ht="15.75" customHeight="1">
      <c r="A17" s="2" t="s">
        <v>52</v>
      </c>
      <c r="B17" s="2" t="s">
        <v>53</v>
      </c>
      <c r="C17" s="2" t="s">
        <v>27</v>
      </c>
      <c r="D17" s="2" t="s">
        <v>54</v>
      </c>
      <c r="E17" s="3"/>
      <c r="F17" s="3"/>
      <c r="G17" s="3"/>
      <c r="H17" s="3"/>
      <c r="I17" s="3"/>
      <c r="J17" s="3"/>
    </row>
    <row r="18" ht="15.75" customHeight="1">
      <c r="A18" s="4" t="s">
        <v>55</v>
      </c>
      <c r="B18" s="4" t="s">
        <v>56</v>
      </c>
      <c r="C18" s="4" t="s">
        <v>27</v>
      </c>
      <c r="D18" s="4" t="s">
        <v>24</v>
      </c>
      <c r="E18" s="5" t="s">
        <v>57</v>
      </c>
      <c r="F18" s="5">
        <v>3.03</v>
      </c>
      <c r="G18" s="5">
        <v>2.96</v>
      </c>
      <c r="H18" s="5">
        <v>2.89</v>
      </c>
      <c r="I18" s="5">
        <v>2.82</v>
      </c>
      <c r="J18" s="5"/>
    </row>
    <row r="19" ht="15.75" customHeight="1">
      <c r="A19" s="2" t="s">
        <v>58</v>
      </c>
      <c r="B19" s="2" t="s">
        <v>59</v>
      </c>
      <c r="C19" s="2" t="s">
        <v>27</v>
      </c>
      <c r="D19" s="2" t="s">
        <v>24</v>
      </c>
      <c r="E19" s="3"/>
      <c r="F19" s="3"/>
      <c r="G19" s="3"/>
      <c r="H19" s="3"/>
      <c r="I19" s="3"/>
      <c r="J19" s="3"/>
    </row>
    <row r="20" ht="15.75" customHeight="1">
      <c r="A20" s="4" t="s">
        <v>60</v>
      </c>
      <c r="B20" s="4" t="s">
        <v>61</v>
      </c>
      <c r="C20" s="4" t="s">
        <v>62</v>
      </c>
      <c r="D20" s="4" t="s">
        <v>51</v>
      </c>
      <c r="E20" s="5">
        <v>60.5</v>
      </c>
      <c r="F20" s="5">
        <v>61.0</v>
      </c>
      <c r="G20" s="5">
        <v>61.5</v>
      </c>
      <c r="H20" s="5">
        <v>62.0</v>
      </c>
      <c r="I20" s="5">
        <v>62.5</v>
      </c>
      <c r="J20" s="5">
        <v>60.3</v>
      </c>
      <c r="O20" s="1">
        <f>SUM(J20-E20)</f>
        <v>-0.2</v>
      </c>
    </row>
    <row r="21" ht="15.75" customHeight="1">
      <c r="A21" s="2" t="s">
        <v>63</v>
      </c>
      <c r="B21" s="2" t="s">
        <v>64</v>
      </c>
      <c r="C21" s="2" t="s">
        <v>62</v>
      </c>
      <c r="D21" s="2" t="s">
        <v>51</v>
      </c>
      <c r="E21" s="3">
        <v>63.9</v>
      </c>
      <c r="F21" s="3">
        <v>64.1</v>
      </c>
      <c r="G21" s="3">
        <v>65.1</v>
      </c>
      <c r="H21" s="3">
        <v>66.1</v>
      </c>
      <c r="I21" s="3">
        <v>68.1</v>
      </c>
      <c r="J21" s="3"/>
    </row>
    <row r="22" ht="15.75" customHeight="1">
      <c r="A22" s="4" t="s">
        <v>65</v>
      </c>
      <c r="B22" s="4" t="s">
        <v>66</v>
      </c>
      <c r="C22" s="4" t="s">
        <v>62</v>
      </c>
      <c r="D22" s="4" t="s">
        <v>24</v>
      </c>
      <c r="E22" s="5">
        <v>17.35</v>
      </c>
      <c r="F22" s="5">
        <v>18.21</v>
      </c>
      <c r="G22" s="5">
        <v>19.03</v>
      </c>
      <c r="H22" s="5">
        <v>19.81</v>
      </c>
      <c r="I22" s="5">
        <v>20.49</v>
      </c>
      <c r="J22" s="5"/>
    </row>
    <row r="23" ht="15.75" customHeight="1">
      <c r="A23" s="2" t="s">
        <v>67</v>
      </c>
      <c r="B23" s="2" t="s">
        <v>68</v>
      </c>
      <c r="C23" s="2" t="s">
        <v>62</v>
      </c>
      <c r="D23" s="2" t="s">
        <v>24</v>
      </c>
      <c r="E23" s="3">
        <v>6.82</v>
      </c>
      <c r="F23" s="3">
        <v>7.13</v>
      </c>
      <c r="G23" s="3">
        <v>8.02</v>
      </c>
      <c r="H23" s="3">
        <v>9.31</v>
      </c>
      <c r="I23" s="3">
        <v>10.51</v>
      </c>
      <c r="J23" s="3"/>
    </row>
    <row r="24" ht="15.75" customHeight="1">
      <c r="A24" s="4" t="s">
        <v>69</v>
      </c>
      <c r="B24" s="4" t="s">
        <v>70</v>
      </c>
      <c r="C24" s="4" t="s">
        <v>62</v>
      </c>
      <c r="D24" s="4" t="s">
        <v>51</v>
      </c>
      <c r="E24" s="5">
        <v>57.6</v>
      </c>
      <c r="F24" s="5">
        <v>57.6</v>
      </c>
      <c r="G24" s="5">
        <v>57.6</v>
      </c>
      <c r="H24" s="5">
        <v>57.6</v>
      </c>
      <c r="I24" s="5">
        <v>57.6</v>
      </c>
      <c r="J24" s="5">
        <v>70.2</v>
      </c>
      <c r="O24" s="1">
        <f t="shared" ref="O24:O25" si="2">J24-E24</f>
        <v>12.6</v>
      </c>
    </row>
    <row r="25" ht="15.75" customHeight="1">
      <c r="A25" s="2" t="s">
        <v>71</v>
      </c>
      <c r="B25" s="2" t="s">
        <v>72</v>
      </c>
      <c r="C25" s="2" t="s">
        <v>62</v>
      </c>
      <c r="D25" s="2" t="s">
        <v>51</v>
      </c>
      <c r="E25" s="3">
        <v>79.9</v>
      </c>
      <c r="F25" s="3">
        <v>79.9</v>
      </c>
      <c r="G25" s="3">
        <v>79.9</v>
      </c>
      <c r="H25" s="3">
        <v>79.9</v>
      </c>
      <c r="I25" s="3">
        <v>79.9</v>
      </c>
      <c r="J25" s="3">
        <v>80.3</v>
      </c>
      <c r="O25" s="1">
        <f t="shared" si="2"/>
        <v>0.4</v>
      </c>
    </row>
    <row r="26" ht="15.75" customHeight="1">
      <c r="A26" s="4" t="s">
        <v>73</v>
      </c>
      <c r="B26" s="4" t="s">
        <v>74</v>
      </c>
      <c r="C26" s="4" t="s">
        <v>62</v>
      </c>
      <c r="D26" s="4" t="s">
        <v>24</v>
      </c>
      <c r="E26" s="5">
        <v>87.36</v>
      </c>
      <c r="F26" s="5">
        <v>89.27</v>
      </c>
      <c r="G26" s="5">
        <v>91.18</v>
      </c>
      <c r="H26" s="5">
        <v>93.09</v>
      </c>
      <c r="I26" s="5">
        <v>95.0</v>
      </c>
      <c r="J26" s="5"/>
    </row>
    <row r="27" ht="15.75" customHeight="1">
      <c r="A27" s="2" t="s">
        <v>75</v>
      </c>
      <c r="B27" s="2" t="s">
        <v>76</v>
      </c>
      <c r="C27" s="2" t="s">
        <v>77</v>
      </c>
      <c r="D27" s="2" t="s">
        <v>24</v>
      </c>
      <c r="E27" s="3">
        <v>8.8</v>
      </c>
      <c r="F27" s="3">
        <v>10.0</v>
      </c>
      <c r="G27" s="3">
        <v>20.0</v>
      </c>
      <c r="H27" s="3">
        <v>30.0</v>
      </c>
      <c r="I27" s="3">
        <v>40.0</v>
      </c>
      <c r="J27" s="3"/>
    </row>
    <row r="28" ht="15.75" customHeight="1">
      <c r="A28" s="4" t="s">
        <v>78</v>
      </c>
      <c r="B28" s="4" t="s">
        <v>79</v>
      </c>
      <c r="C28" s="4" t="s">
        <v>77</v>
      </c>
      <c r="D28" s="4" t="s">
        <v>80</v>
      </c>
      <c r="E28" s="5">
        <v>628.28</v>
      </c>
      <c r="F28" s="5">
        <v>633.8</v>
      </c>
      <c r="G28" s="5">
        <v>638.7</v>
      </c>
      <c r="H28" s="5">
        <v>642.5</v>
      </c>
      <c r="I28" s="5">
        <v>645.3</v>
      </c>
      <c r="J28" s="5">
        <v>645.0</v>
      </c>
      <c r="O28" s="1">
        <f>SUM(J28-E28)</f>
        <v>16.72</v>
      </c>
    </row>
    <row r="29" ht="15.75" customHeight="1">
      <c r="A29" s="2" t="s">
        <v>81</v>
      </c>
      <c r="B29" s="2" t="s">
        <v>82</v>
      </c>
      <c r="C29" s="2" t="s">
        <v>83</v>
      </c>
      <c r="D29" s="2" t="s">
        <v>24</v>
      </c>
      <c r="E29" s="3">
        <v>99.55</v>
      </c>
      <c r="F29" s="3">
        <v>99.64</v>
      </c>
      <c r="G29" s="3">
        <v>99.73</v>
      </c>
      <c r="H29" s="3">
        <v>99.81</v>
      </c>
      <c r="I29" s="3">
        <v>99.9</v>
      </c>
      <c r="J29" s="3"/>
    </row>
    <row r="30" ht="15.75" customHeight="1">
      <c r="A30" s="4" t="s">
        <v>84</v>
      </c>
      <c r="B30" s="4" t="s">
        <v>85</v>
      </c>
      <c r="C30" s="4" t="s">
        <v>83</v>
      </c>
      <c r="D30" s="4" t="s">
        <v>24</v>
      </c>
      <c r="E30" s="5">
        <v>100.0</v>
      </c>
      <c r="F30" s="5">
        <v>100.0</v>
      </c>
      <c r="G30" s="5">
        <v>100.0</v>
      </c>
      <c r="H30" s="5">
        <v>100.0</v>
      </c>
      <c r="I30" s="5">
        <v>100.0</v>
      </c>
      <c r="J30" s="5"/>
    </row>
    <row r="31" ht="15.75" customHeight="1">
      <c r="A31" s="2" t="s">
        <v>86</v>
      </c>
      <c r="B31" s="2" t="s">
        <v>87</v>
      </c>
      <c r="C31" s="2" t="s">
        <v>83</v>
      </c>
      <c r="D31" s="2" t="s">
        <v>24</v>
      </c>
      <c r="E31" s="3">
        <v>100.0</v>
      </c>
      <c r="F31" s="3">
        <v>100.0</v>
      </c>
      <c r="G31" s="3">
        <v>100.0</v>
      </c>
      <c r="H31" s="3">
        <v>100.0</v>
      </c>
      <c r="I31" s="3">
        <v>100.0</v>
      </c>
      <c r="J31" s="3"/>
    </row>
    <row r="32" ht="15.75" customHeight="1">
      <c r="A32" s="4" t="s">
        <v>88</v>
      </c>
      <c r="B32" s="4" t="s">
        <v>89</v>
      </c>
      <c r="C32" s="4" t="s">
        <v>83</v>
      </c>
      <c r="D32" s="4" t="s">
        <v>24</v>
      </c>
      <c r="E32" s="5">
        <v>100.0</v>
      </c>
      <c r="F32" s="5">
        <v>100.0</v>
      </c>
      <c r="G32" s="5">
        <v>100.0</v>
      </c>
      <c r="H32" s="5">
        <v>100.0</v>
      </c>
      <c r="I32" s="5">
        <v>100.0</v>
      </c>
      <c r="J32" s="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8.0"/>
    <col customWidth="1" min="3" max="3" width="26.0"/>
    <col customWidth="1" min="4" max="4" width="34.0"/>
    <col customWidth="1" min="5" max="5" width="12.0"/>
    <col customWidth="1" min="6" max="6" width="18.0"/>
    <col customWidth="1" min="7" max="7" width="8.0"/>
    <col customWidth="1" min="8" max="12" width="12.0"/>
    <col customWidth="1" min="13" max="14" width="16.0"/>
    <col customWidth="1" min="15" max="15" width="18.0"/>
    <col customWidth="1" min="16" max="26" width="8.63"/>
  </cols>
  <sheetData>
    <row r="1" ht="36.0" customHeight="1">
      <c r="A1" s="6" t="s">
        <v>90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</row>
    <row r="2" ht="30.0" customHeight="1">
      <c r="A2" s="9" t="s">
        <v>91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ht="27.75" customHeight="1">
      <c r="A3" s="10" t="s">
        <v>0</v>
      </c>
      <c r="B3" s="10" t="s">
        <v>92</v>
      </c>
      <c r="C3" s="10" t="s">
        <v>93</v>
      </c>
      <c r="D3" s="10" t="s">
        <v>94</v>
      </c>
      <c r="E3" s="10" t="s">
        <v>3</v>
      </c>
      <c r="F3" s="10" t="s">
        <v>95</v>
      </c>
      <c r="G3" s="10" t="s">
        <v>28</v>
      </c>
      <c r="H3" s="10" t="s">
        <v>96</v>
      </c>
      <c r="I3" s="10" t="s">
        <v>97</v>
      </c>
      <c r="J3" s="10" t="s">
        <v>98</v>
      </c>
      <c r="K3" s="10" t="s">
        <v>99</v>
      </c>
      <c r="L3" s="10" t="s">
        <v>100</v>
      </c>
      <c r="M3" s="10" t="s">
        <v>101</v>
      </c>
      <c r="N3" s="10" t="s">
        <v>102</v>
      </c>
      <c r="O3" s="10" t="s">
        <v>103</v>
      </c>
    </row>
    <row r="4" ht="19.5" customHeight="1">
      <c r="A4" s="11" t="s">
        <v>15</v>
      </c>
      <c r="B4" s="12">
        <v>1.0</v>
      </c>
      <c r="C4" s="13" t="s">
        <v>17</v>
      </c>
      <c r="D4" s="13" t="s">
        <v>16</v>
      </c>
      <c r="E4" s="14" t="s">
        <v>18</v>
      </c>
      <c r="F4" s="15" t="s">
        <v>104</v>
      </c>
      <c r="G4" s="12">
        <v>2025.0</v>
      </c>
      <c r="H4" s="16">
        <v>1.82</v>
      </c>
      <c r="I4" s="17">
        <v>1.96</v>
      </c>
      <c r="J4" s="18">
        <f t="shared" ref="J4:J18" si="1">IFERROR(I4-H4,"")</f>
        <v>0.14</v>
      </c>
      <c r="K4" s="19">
        <f t="shared" ref="K4:K18" si="2">IFERROR(I4/H4-1,"")</f>
        <v>0.07692307692</v>
      </c>
      <c r="L4" s="14" t="s">
        <v>105</v>
      </c>
      <c r="M4" s="14" t="str">
        <f t="shared" ref="M4:M13" si="3">IF(I4="","Belum Diisi",IF(I4&lt;=H4,"On Track",IF(I4&lt;=H4*1.1,"Warning","Alert")))</f>
        <v>Warning</v>
      </c>
      <c r="N4" s="14" t="str">
        <f t="shared" ref="N4:N13" si="4">IF(I4="","Abu",IF(I4&lt;=H4,"Hijau",IF(I4&lt;=H4*1.1,"Kuning","Merah")))</f>
        <v>Kuning</v>
      </c>
      <c r="O4" s="20" t="s">
        <v>106</v>
      </c>
    </row>
    <row r="5" ht="19.5" customHeight="1">
      <c r="A5" s="21" t="s">
        <v>15</v>
      </c>
      <c r="B5" s="22">
        <v>1.0</v>
      </c>
      <c r="C5" s="23" t="s">
        <v>17</v>
      </c>
      <c r="D5" s="23" t="s">
        <v>16</v>
      </c>
      <c r="E5" s="24" t="s">
        <v>18</v>
      </c>
      <c r="F5" s="25" t="s">
        <v>104</v>
      </c>
      <c r="G5" s="22">
        <v>2026.0</v>
      </c>
      <c r="H5" s="16">
        <v>1.83</v>
      </c>
      <c r="I5" s="26"/>
      <c r="J5" s="27">
        <f t="shared" si="1"/>
        <v>-1.83</v>
      </c>
      <c r="K5" s="28">
        <f t="shared" si="2"/>
        <v>-1</v>
      </c>
      <c r="L5" s="24" t="s">
        <v>105</v>
      </c>
      <c r="M5" s="24" t="str">
        <f t="shared" si="3"/>
        <v>Belum Diisi</v>
      </c>
      <c r="N5" s="24" t="str">
        <f t="shared" si="4"/>
        <v>Abu</v>
      </c>
      <c r="O5" s="29" t="s">
        <v>107</v>
      </c>
    </row>
    <row r="6" ht="19.5" customHeight="1">
      <c r="A6" s="11" t="s">
        <v>15</v>
      </c>
      <c r="B6" s="12">
        <v>1.0</v>
      </c>
      <c r="C6" s="13" t="s">
        <v>17</v>
      </c>
      <c r="D6" s="13" t="s">
        <v>16</v>
      </c>
      <c r="E6" s="14" t="s">
        <v>18</v>
      </c>
      <c r="F6" s="15" t="s">
        <v>104</v>
      </c>
      <c r="G6" s="12">
        <v>2027.0</v>
      </c>
      <c r="H6" s="16">
        <v>1.84</v>
      </c>
      <c r="I6" s="26"/>
      <c r="J6" s="18">
        <f t="shared" si="1"/>
        <v>-1.84</v>
      </c>
      <c r="K6" s="19">
        <f t="shared" si="2"/>
        <v>-1</v>
      </c>
      <c r="L6" s="14" t="s">
        <v>105</v>
      </c>
      <c r="M6" s="14" t="str">
        <f t="shared" si="3"/>
        <v>Belum Diisi</v>
      </c>
      <c r="N6" s="14" t="str">
        <f t="shared" si="4"/>
        <v>Abu</v>
      </c>
      <c r="O6" s="29" t="s">
        <v>107</v>
      </c>
    </row>
    <row r="7" ht="19.5" customHeight="1">
      <c r="A7" s="21" t="s">
        <v>15</v>
      </c>
      <c r="B7" s="22">
        <v>1.0</v>
      </c>
      <c r="C7" s="23" t="s">
        <v>17</v>
      </c>
      <c r="D7" s="23" t="s">
        <v>16</v>
      </c>
      <c r="E7" s="24" t="s">
        <v>18</v>
      </c>
      <c r="F7" s="25" t="s">
        <v>104</v>
      </c>
      <c r="G7" s="22">
        <v>2028.0</v>
      </c>
      <c r="H7" s="16">
        <v>1.85</v>
      </c>
      <c r="I7" s="26"/>
      <c r="J7" s="27">
        <f t="shared" si="1"/>
        <v>-1.85</v>
      </c>
      <c r="K7" s="28">
        <f t="shared" si="2"/>
        <v>-1</v>
      </c>
      <c r="L7" s="24" t="s">
        <v>105</v>
      </c>
      <c r="M7" s="24" t="str">
        <f t="shared" si="3"/>
        <v>Belum Diisi</v>
      </c>
      <c r="N7" s="24" t="str">
        <f t="shared" si="4"/>
        <v>Abu</v>
      </c>
      <c r="O7" s="29" t="s">
        <v>107</v>
      </c>
    </row>
    <row r="8" ht="19.5" customHeight="1">
      <c r="A8" s="11" t="s">
        <v>15</v>
      </c>
      <c r="B8" s="12">
        <v>1.0</v>
      </c>
      <c r="C8" s="13" t="s">
        <v>17</v>
      </c>
      <c r="D8" s="13" t="s">
        <v>16</v>
      </c>
      <c r="E8" s="14" t="s">
        <v>18</v>
      </c>
      <c r="F8" s="15" t="s">
        <v>104</v>
      </c>
      <c r="G8" s="12">
        <v>2029.0</v>
      </c>
      <c r="H8" s="16">
        <v>1.85</v>
      </c>
      <c r="I8" s="26"/>
      <c r="J8" s="18">
        <f t="shared" si="1"/>
        <v>-1.85</v>
      </c>
      <c r="K8" s="19">
        <f t="shared" si="2"/>
        <v>-1</v>
      </c>
      <c r="L8" s="14" t="s">
        <v>105</v>
      </c>
      <c r="M8" s="14" t="str">
        <f t="shared" si="3"/>
        <v>Belum Diisi</v>
      </c>
      <c r="N8" s="14" t="str">
        <f t="shared" si="4"/>
        <v>Abu</v>
      </c>
      <c r="O8" s="29" t="s">
        <v>107</v>
      </c>
    </row>
    <row r="9" ht="19.5" customHeight="1">
      <c r="A9" s="21" t="s">
        <v>19</v>
      </c>
      <c r="B9" s="22">
        <v>1.0</v>
      </c>
      <c r="C9" s="23" t="s">
        <v>17</v>
      </c>
      <c r="D9" s="23" t="s">
        <v>20</v>
      </c>
      <c r="E9" s="24" t="s">
        <v>21</v>
      </c>
      <c r="F9" s="25" t="s">
        <v>104</v>
      </c>
      <c r="G9" s="22">
        <v>2025.0</v>
      </c>
      <c r="H9" s="16">
        <v>17.29</v>
      </c>
      <c r="I9" s="17">
        <v>14.4</v>
      </c>
      <c r="J9" s="27">
        <f t="shared" si="1"/>
        <v>-2.89</v>
      </c>
      <c r="K9" s="28">
        <f t="shared" si="2"/>
        <v>-0.1671486408</v>
      </c>
      <c r="L9" s="24" t="s">
        <v>105</v>
      </c>
      <c r="M9" s="24" t="str">
        <f t="shared" si="3"/>
        <v>On Track</v>
      </c>
      <c r="N9" s="24" t="str">
        <f t="shared" si="4"/>
        <v>Hijau</v>
      </c>
      <c r="O9" s="20" t="s">
        <v>106</v>
      </c>
    </row>
    <row r="10" ht="19.5" customHeight="1">
      <c r="A10" s="11" t="s">
        <v>19</v>
      </c>
      <c r="B10" s="12">
        <v>1.0</v>
      </c>
      <c r="C10" s="13" t="s">
        <v>17</v>
      </c>
      <c r="D10" s="13" t="s">
        <v>20</v>
      </c>
      <c r="E10" s="14" t="s">
        <v>21</v>
      </c>
      <c r="F10" s="15" t="s">
        <v>104</v>
      </c>
      <c r="G10" s="12">
        <v>2026.0</v>
      </c>
      <c r="H10" s="16">
        <v>17.0</v>
      </c>
      <c r="I10" s="26"/>
      <c r="J10" s="18">
        <f t="shared" si="1"/>
        <v>-17</v>
      </c>
      <c r="K10" s="19">
        <f t="shared" si="2"/>
        <v>-1</v>
      </c>
      <c r="L10" s="14" t="s">
        <v>105</v>
      </c>
      <c r="M10" s="14" t="str">
        <f t="shared" si="3"/>
        <v>Belum Diisi</v>
      </c>
      <c r="N10" s="14" t="str">
        <f t="shared" si="4"/>
        <v>Abu</v>
      </c>
      <c r="O10" s="29" t="s">
        <v>107</v>
      </c>
    </row>
    <row r="11" ht="19.5" customHeight="1">
      <c r="A11" s="21" t="s">
        <v>19</v>
      </c>
      <c r="B11" s="22">
        <v>1.0</v>
      </c>
      <c r="C11" s="23" t="s">
        <v>17</v>
      </c>
      <c r="D11" s="23" t="s">
        <v>20</v>
      </c>
      <c r="E11" s="24" t="s">
        <v>21</v>
      </c>
      <c r="F11" s="25" t="s">
        <v>104</v>
      </c>
      <c r="G11" s="22">
        <v>2027.0</v>
      </c>
      <c r="H11" s="16">
        <v>17.0</v>
      </c>
      <c r="I11" s="26"/>
      <c r="J11" s="27">
        <f t="shared" si="1"/>
        <v>-17</v>
      </c>
      <c r="K11" s="28">
        <f t="shared" si="2"/>
        <v>-1</v>
      </c>
      <c r="L11" s="24" t="s">
        <v>105</v>
      </c>
      <c r="M11" s="24" t="str">
        <f t="shared" si="3"/>
        <v>Belum Diisi</v>
      </c>
      <c r="N11" s="24" t="str">
        <f t="shared" si="4"/>
        <v>Abu</v>
      </c>
      <c r="O11" s="29" t="s">
        <v>107</v>
      </c>
    </row>
    <row r="12" ht="19.5" customHeight="1">
      <c r="A12" s="11" t="s">
        <v>19</v>
      </c>
      <c r="B12" s="12">
        <v>1.0</v>
      </c>
      <c r="C12" s="13" t="s">
        <v>17</v>
      </c>
      <c r="D12" s="13" t="s">
        <v>20</v>
      </c>
      <c r="E12" s="14" t="s">
        <v>21</v>
      </c>
      <c r="F12" s="15" t="s">
        <v>104</v>
      </c>
      <c r="G12" s="12">
        <v>2028.0</v>
      </c>
      <c r="H12" s="16">
        <v>17.0</v>
      </c>
      <c r="I12" s="26"/>
      <c r="J12" s="18">
        <f t="shared" si="1"/>
        <v>-17</v>
      </c>
      <c r="K12" s="19">
        <f t="shared" si="2"/>
        <v>-1</v>
      </c>
      <c r="L12" s="14" t="s">
        <v>105</v>
      </c>
      <c r="M12" s="14" t="str">
        <f t="shared" si="3"/>
        <v>Belum Diisi</v>
      </c>
      <c r="N12" s="14" t="str">
        <f t="shared" si="4"/>
        <v>Abu</v>
      </c>
      <c r="O12" s="29" t="s">
        <v>107</v>
      </c>
    </row>
    <row r="13" ht="19.5" customHeight="1">
      <c r="A13" s="21" t="s">
        <v>19</v>
      </c>
      <c r="B13" s="22">
        <v>1.0</v>
      </c>
      <c r="C13" s="23" t="s">
        <v>17</v>
      </c>
      <c r="D13" s="23" t="s">
        <v>20</v>
      </c>
      <c r="E13" s="24" t="s">
        <v>21</v>
      </c>
      <c r="F13" s="25" t="s">
        <v>104</v>
      </c>
      <c r="G13" s="22">
        <v>2029.0</v>
      </c>
      <c r="H13" s="16">
        <v>17.0</v>
      </c>
      <c r="I13" s="26"/>
      <c r="J13" s="27">
        <f t="shared" si="1"/>
        <v>-17</v>
      </c>
      <c r="K13" s="28">
        <f t="shared" si="2"/>
        <v>-1</v>
      </c>
      <c r="L13" s="24" t="s">
        <v>105</v>
      </c>
      <c r="M13" s="24" t="str">
        <f t="shared" si="3"/>
        <v>Belum Diisi</v>
      </c>
      <c r="N13" s="24" t="str">
        <f t="shared" si="4"/>
        <v>Abu</v>
      </c>
      <c r="O13" s="29" t="s">
        <v>107</v>
      </c>
    </row>
    <row r="14" ht="19.5" customHeight="1">
      <c r="A14" s="11" t="s">
        <v>22</v>
      </c>
      <c r="B14" s="12">
        <v>1.0</v>
      </c>
      <c r="C14" s="13" t="s">
        <v>17</v>
      </c>
      <c r="D14" s="13" t="s">
        <v>23</v>
      </c>
      <c r="E14" s="14" t="s">
        <v>24</v>
      </c>
      <c r="F14" s="15" t="s">
        <v>104</v>
      </c>
      <c r="G14" s="12">
        <v>2025.0</v>
      </c>
      <c r="H14" s="16">
        <v>77.0</v>
      </c>
      <c r="I14" s="17">
        <v>92.4</v>
      </c>
      <c r="J14" s="18">
        <f t="shared" si="1"/>
        <v>15.4</v>
      </c>
      <c r="K14" s="19">
        <f t="shared" si="2"/>
        <v>0.2</v>
      </c>
      <c r="L14" s="14" t="s">
        <v>108</v>
      </c>
      <c r="M14" s="14" t="str">
        <f t="shared" ref="M14:M18" si="5">IF(I14="","Belum Diisi",IF(I14&gt;=H14,"On Track",IF(I14&gt;=H14*0.9,"Warning","Alert")))</f>
        <v>On Track</v>
      </c>
      <c r="N14" s="14" t="str">
        <f t="shared" ref="N14:N18" si="6">IF(I14="","Abu",IF(I14&gt;=H14,"Hijau",IF(I14&gt;=H14*0.9,"Kuning","Merah")))</f>
        <v>Hijau</v>
      </c>
      <c r="O14" s="20" t="s">
        <v>106</v>
      </c>
    </row>
    <row r="15" ht="19.5" customHeight="1">
      <c r="A15" s="21" t="s">
        <v>22</v>
      </c>
      <c r="B15" s="22">
        <v>1.0</v>
      </c>
      <c r="C15" s="23" t="s">
        <v>17</v>
      </c>
      <c r="D15" s="23" t="s">
        <v>23</v>
      </c>
      <c r="E15" s="24" t="s">
        <v>24</v>
      </c>
      <c r="F15" s="25" t="s">
        <v>104</v>
      </c>
      <c r="G15" s="22">
        <v>2026.0</v>
      </c>
      <c r="H15" s="16">
        <v>77.0</v>
      </c>
      <c r="I15" s="26"/>
      <c r="J15" s="27">
        <f t="shared" si="1"/>
        <v>-77</v>
      </c>
      <c r="K15" s="28">
        <f t="shared" si="2"/>
        <v>-1</v>
      </c>
      <c r="L15" s="24" t="s">
        <v>108</v>
      </c>
      <c r="M15" s="24" t="str">
        <f t="shared" si="5"/>
        <v>Belum Diisi</v>
      </c>
      <c r="N15" s="24" t="str">
        <f t="shared" si="6"/>
        <v>Abu</v>
      </c>
      <c r="O15" s="29" t="s">
        <v>107</v>
      </c>
    </row>
    <row r="16" ht="19.5" customHeight="1">
      <c r="A16" s="11" t="s">
        <v>22</v>
      </c>
      <c r="B16" s="12">
        <v>1.0</v>
      </c>
      <c r="C16" s="13" t="s">
        <v>17</v>
      </c>
      <c r="D16" s="13" t="s">
        <v>23</v>
      </c>
      <c r="E16" s="14" t="s">
        <v>24</v>
      </c>
      <c r="F16" s="15" t="s">
        <v>104</v>
      </c>
      <c r="G16" s="12">
        <v>2027.0</v>
      </c>
      <c r="H16" s="16">
        <v>77.0</v>
      </c>
      <c r="I16" s="26"/>
      <c r="J16" s="18">
        <f t="shared" si="1"/>
        <v>-77</v>
      </c>
      <c r="K16" s="19">
        <f t="shared" si="2"/>
        <v>-1</v>
      </c>
      <c r="L16" s="14" t="s">
        <v>108</v>
      </c>
      <c r="M16" s="14" t="str">
        <f t="shared" si="5"/>
        <v>Belum Diisi</v>
      </c>
      <c r="N16" s="14" t="str">
        <f t="shared" si="6"/>
        <v>Abu</v>
      </c>
      <c r="O16" s="29" t="s">
        <v>107</v>
      </c>
    </row>
    <row r="17" ht="19.5" customHeight="1">
      <c r="A17" s="21" t="s">
        <v>22</v>
      </c>
      <c r="B17" s="22">
        <v>1.0</v>
      </c>
      <c r="C17" s="23" t="s">
        <v>17</v>
      </c>
      <c r="D17" s="23" t="s">
        <v>23</v>
      </c>
      <c r="E17" s="24" t="s">
        <v>24</v>
      </c>
      <c r="F17" s="25" t="s">
        <v>104</v>
      </c>
      <c r="G17" s="22">
        <v>2028.0</v>
      </c>
      <c r="H17" s="16">
        <v>77.0</v>
      </c>
      <c r="I17" s="26"/>
      <c r="J17" s="27">
        <f t="shared" si="1"/>
        <v>-77</v>
      </c>
      <c r="K17" s="28">
        <f t="shared" si="2"/>
        <v>-1</v>
      </c>
      <c r="L17" s="24" t="s">
        <v>108</v>
      </c>
      <c r="M17" s="24" t="str">
        <f t="shared" si="5"/>
        <v>Belum Diisi</v>
      </c>
      <c r="N17" s="24" t="str">
        <f t="shared" si="6"/>
        <v>Abu</v>
      </c>
      <c r="O17" s="29" t="s">
        <v>107</v>
      </c>
    </row>
    <row r="18" ht="19.5" customHeight="1">
      <c r="A18" s="11" t="s">
        <v>22</v>
      </c>
      <c r="B18" s="12">
        <v>1.0</v>
      </c>
      <c r="C18" s="13" t="s">
        <v>17</v>
      </c>
      <c r="D18" s="13" t="s">
        <v>23</v>
      </c>
      <c r="E18" s="14" t="s">
        <v>24</v>
      </c>
      <c r="F18" s="15" t="s">
        <v>104</v>
      </c>
      <c r="G18" s="12">
        <v>2029.0</v>
      </c>
      <c r="H18" s="16">
        <v>77.0</v>
      </c>
      <c r="I18" s="26"/>
      <c r="J18" s="18">
        <f t="shared" si="1"/>
        <v>-77</v>
      </c>
      <c r="K18" s="19">
        <f t="shared" si="2"/>
        <v>-1</v>
      </c>
      <c r="L18" s="14" t="s">
        <v>108</v>
      </c>
      <c r="M18" s="14" t="str">
        <f t="shared" si="5"/>
        <v>Belum Diisi</v>
      </c>
      <c r="N18" s="14" t="str">
        <f t="shared" si="6"/>
        <v>Abu</v>
      </c>
      <c r="O18" s="29" t="s">
        <v>107</v>
      </c>
    </row>
    <row r="19" ht="19.5" customHeight="1">
      <c r="A19" s="30" t="s">
        <v>25</v>
      </c>
      <c r="B19" s="22">
        <v>2.0</v>
      </c>
      <c r="C19" s="23" t="s">
        <v>27</v>
      </c>
      <c r="D19" s="23" t="s">
        <v>109</v>
      </c>
      <c r="E19" s="24" t="s">
        <v>28</v>
      </c>
      <c r="F19" s="25" t="s">
        <v>110</v>
      </c>
      <c r="G19" s="22">
        <v>2025.0</v>
      </c>
      <c r="H19" s="26"/>
      <c r="I19" s="26"/>
      <c r="J19" s="14"/>
      <c r="K19" s="14"/>
      <c r="L19" s="24" t="s">
        <v>108</v>
      </c>
      <c r="M19" s="14" t="s">
        <v>111</v>
      </c>
      <c r="N19" s="14" t="s">
        <v>112</v>
      </c>
      <c r="O19" s="29" t="s">
        <v>113</v>
      </c>
    </row>
    <row r="20" ht="19.5" customHeight="1">
      <c r="A20" s="31" t="s">
        <v>25</v>
      </c>
      <c r="B20" s="12">
        <v>2.0</v>
      </c>
      <c r="C20" s="13" t="s">
        <v>27</v>
      </c>
      <c r="D20" s="13" t="s">
        <v>109</v>
      </c>
      <c r="E20" s="14" t="s">
        <v>28</v>
      </c>
      <c r="F20" s="15" t="s">
        <v>110</v>
      </c>
      <c r="G20" s="12">
        <v>2026.0</v>
      </c>
      <c r="H20" s="26"/>
      <c r="I20" s="26"/>
      <c r="J20" s="14"/>
      <c r="K20" s="14"/>
      <c r="L20" s="14" t="s">
        <v>108</v>
      </c>
      <c r="M20" s="14" t="s">
        <v>111</v>
      </c>
      <c r="N20" s="14" t="s">
        <v>112</v>
      </c>
      <c r="O20" s="29" t="s">
        <v>113</v>
      </c>
    </row>
    <row r="21" ht="19.5" customHeight="1">
      <c r="A21" s="30" t="s">
        <v>25</v>
      </c>
      <c r="B21" s="22">
        <v>2.0</v>
      </c>
      <c r="C21" s="23" t="s">
        <v>27</v>
      </c>
      <c r="D21" s="23" t="s">
        <v>109</v>
      </c>
      <c r="E21" s="24" t="s">
        <v>28</v>
      </c>
      <c r="F21" s="25" t="s">
        <v>110</v>
      </c>
      <c r="G21" s="22">
        <v>2027.0</v>
      </c>
      <c r="H21" s="26"/>
      <c r="I21" s="26"/>
      <c r="J21" s="14"/>
      <c r="K21" s="14"/>
      <c r="L21" s="24" t="s">
        <v>108</v>
      </c>
      <c r="M21" s="14" t="s">
        <v>111</v>
      </c>
      <c r="N21" s="14" t="s">
        <v>112</v>
      </c>
      <c r="O21" s="29" t="s">
        <v>113</v>
      </c>
    </row>
    <row r="22" ht="19.5" customHeight="1">
      <c r="A22" s="31" t="s">
        <v>25</v>
      </c>
      <c r="B22" s="12">
        <v>2.0</v>
      </c>
      <c r="C22" s="13" t="s">
        <v>27</v>
      </c>
      <c r="D22" s="13" t="s">
        <v>109</v>
      </c>
      <c r="E22" s="14" t="s">
        <v>28</v>
      </c>
      <c r="F22" s="15" t="s">
        <v>110</v>
      </c>
      <c r="G22" s="12">
        <v>2028.0</v>
      </c>
      <c r="H22" s="26"/>
      <c r="I22" s="26"/>
      <c r="J22" s="14"/>
      <c r="K22" s="14"/>
      <c r="L22" s="14" t="s">
        <v>108</v>
      </c>
      <c r="M22" s="14" t="s">
        <v>111</v>
      </c>
      <c r="N22" s="14" t="s">
        <v>112</v>
      </c>
      <c r="O22" s="29" t="s">
        <v>113</v>
      </c>
    </row>
    <row r="23" ht="19.5" customHeight="1">
      <c r="A23" s="30" t="s">
        <v>25</v>
      </c>
      <c r="B23" s="22">
        <v>2.0</v>
      </c>
      <c r="C23" s="23" t="s">
        <v>27</v>
      </c>
      <c r="D23" s="23" t="s">
        <v>109</v>
      </c>
      <c r="E23" s="24" t="s">
        <v>28</v>
      </c>
      <c r="F23" s="25" t="s">
        <v>110</v>
      </c>
      <c r="G23" s="22">
        <v>2029.0</v>
      </c>
      <c r="H23" s="26"/>
      <c r="I23" s="26"/>
      <c r="J23" s="14"/>
      <c r="K23" s="14"/>
      <c r="L23" s="24" t="s">
        <v>108</v>
      </c>
      <c r="M23" s="14" t="s">
        <v>111</v>
      </c>
      <c r="N23" s="14" t="s">
        <v>112</v>
      </c>
      <c r="O23" s="29" t="s">
        <v>113</v>
      </c>
    </row>
    <row r="24" ht="19.5" customHeight="1">
      <c r="A24" s="31" t="s">
        <v>29</v>
      </c>
      <c r="B24" s="12">
        <v>2.0</v>
      </c>
      <c r="C24" s="13" t="s">
        <v>27</v>
      </c>
      <c r="D24" s="13" t="s">
        <v>30</v>
      </c>
      <c r="E24" s="14" t="s">
        <v>24</v>
      </c>
      <c r="F24" s="15" t="s">
        <v>110</v>
      </c>
      <c r="G24" s="12">
        <v>2025.0</v>
      </c>
      <c r="H24" s="26"/>
      <c r="I24" s="26"/>
      <c r="J24" s="14"/>
      <c r="K24" s="14"/>
      <c r="L24" s="14" t="s">
        <v>108</v>
      </c>
      <c r="M24" s="14" t="s">
        <v>111</v>
      </c>
      <c r="N24" s="14" t="s">
        <v>112</v>
      </c>
      <c r="O24" s="29" t="s">
        <v>113</v>
      </c>
    </row>
    <row r="25" ht="19.5" customHeight="1">
      <c r="A25" s="30" t="s">
        <v>29</v>
      </c>
      <c r="B25" s="22">
        <v>2.0</v>
      </c>
      <c r="C25" s="23" t="s">
        <v>27</v>
      </c>
      <c r="D25" s="23" t="s">
        <v>30</v>
      </c>
      <c r="E25" s="24" t="s">
        <v>24</v>
      </c>
      <c r="F25" s="25" t="s">
        <v>110</v>
      </c>
      <c r="G25" s="22">
        <v>2026.0</v>
      </c>
      <c r="H25" s="26"/>
      <c r="I25" s="26"/>
      <c r="J25" s="14"/>
      <c r="K25" s="14"/>
      <c r="L25" s="24" t="s">
        <v>108</v>
      </c>
      <c r="M25" s="14" t="s">
        <v>111</v>
      </c>
      <c r="N25" s="14" t="s">
        <v>112</v>
      </c>
      <c r="O25" s="29" t="s">
        <v>113</v>
      </c>
    </row>
    <row r="26" ht="19.5" customHeight="1">
      <c r="A26" s="31" t="s">
        <v>29</v>
      </c>
      <c r="B26" s="12">
        <v>2.0</v>
      </c>
      <c r="C26" s="13" t="s">
        <v>27</v>
      </c>
      <c r="D26" s="13" t="s">
        <v>30</v>
      </c>
      <c r="E26" s="14" t="s">
        <v>24</v>
      </c>
      <c r="F26" s="15" t="s">
        <v>110</v>
      </c>
      <c r="G26" s="12">
        <v>2027.0</v>
      </c>
      <c r="H26" s="26"/>
      <c r="I26" s="26"/>
      <c r="J26" s="14"/>
      <c r="K26" s="14"/>
      <c r="L26" s="14" t="s">
        <v>108</v>
      </c>
      <c r="M26" s="14" t="s">
        <v>111</v>
      </c>
      <c r="N26" s="14" t="s">
        <v>112</v>
      </c>
      <c r="O26" s="29" t="s">
        <v>113</v>
      </c>
    </row>
    <row r="27" ht="19.5" customHeight="1">
      <c r="A27" s="30" t="s">
        <v>29</v>
      </c>
      <c r="B27" s="22">
        <v>2.0</v>
      </c>
      <c r="C27" s="23" t="s">
        <v>27</v>
      </c>
      <c r="D27" s="23" t="s">
        <v>30</v>
      </c>
      <c r="E27" s="24" t="s">
        <v>24</v>
      </c>
      <c r="F27" s="25" t="s">
        <v>110</v>
      </c>
      <c r="G27" s="22">
        <v>2028.0</v>
      </c>
      <c r="H27" s="26"/>
      <c r="I27" s="26"/>
      <c r="J27" s="14"/>
      <c r="K27" s="14"/>
      <c r="L27" s="24" t="s">
        <v>108</v>
      </c>
      <c r="M27" s="14" t="s">
        <v>111</v>
      </c>
      <c r="N27" s="14" t="s">
        <v>112</v>
      </c>
      <c r="O27" s="29" t="s">
        <v>113</v>
      </c>
    </row>
    <row r="28" ht="19.5" customHeight="1">
      <c r="A28" s="31" t="s">
        <v>29</v>
      </c>
      <c r="B28" s="12">
        <v>2.0</v>
      </c>
      <c r="C28" s="13" t="s">
        <v>27</v>
      </c>
      <c r="D28" s="13" t="s">
        <v>30</v>
      </c>
      <c r="E28" s="14" t="s">
        <v>24</v>
      </c>
      <c r="F28" s="15" t="s">
        <v>110</v>
      </c>
      <c r="G28" s="12">
        <v>2029.0</v>
      </c>
      <c r="H28" s="26"/>
      <c r="I28" s="26"/>
      <c r="J28" s="14"/>
      <c r="K28" s="14"/>
      <c r="L28" s="14" t="s">
        <v>108</v>
      </c>
      <c r="M28" s="14" t="s">
        <v>111</v>
      </c>
      <c r="N28" s="14" t="s">
        <v>112</v>
      </c>
      <c r="O28" s="29" t="s">
        <v>113</v>
      </c>
    </row>
    <row r="29" ht="19.5" customHeight="1">
      <c r="A29" s="30" t="s">
        <v>31</v>
      </c>
      <c r="B29" s="22">
        <v>2.0</v>
      </c>
      <c r="C29" s="23" t="s">
        <v>27</v>
      </c>
      <c r="D29" s="23" t="s">
        <v>32</v>
      </c>
      <c r="E29" s="24" t="s">
        <v>24</v>
      </c>
      <c r="F29" s="25" t="s">
        <v>114</v>
      </c>
      <c r="G29" s="22">
        <v>2025.0</v>
      </c>
      <c r="H29" s="26"/>
      <c r="I29" s="26"/>
      <c r="J29" s="14"/>
      <c r="K29" s="14"/>
      <c r="L29" s="24" t="s">
        <v>108</v>
      </c>
      <c r="M29" s="14" t="s">
        <v>111</v>
      </c>
      <c r="N29" s="14" t="s">
        <v>112</v>
      </c>
      <c r="O29" s="29" t="s">
        <v>113</v>
      </c>
    </row>
    <row r="30" ht="19.5" customHeight="1">
      <c r="A30" s="31" t="s">
        <v>31</v>
      </c>
      <c r="B30" s="12">
        <v>2.0</v>
      </c>
      <c r="C30" s="13" t="s">
        <v>27</v>
      </c>
      <c r="D30" s="13" t="s">
        <v>32</v>
      </c>
      <c r="E30" s="14" t="s">
        <v>24</v>
      </c>
      <c r="F30" s="15" t="s">
        <v>114</v>
      </c>
      <c r="G30" s="12">
        <v>2026.0</v>
      </c>
      <c r="H30" s="26"/>
      <c r="I30" s="26"/>
      <c r="J30" s="14"/>
      <c r="K30" s="14"/>
      <c r="L30" s="14" t="s">
        <v>108</v>
      </c>
      <c r="M30" s="14" t="s">
        <v>111</v>
      </c>
      <c r="N30" s="14" t="s">
        <v>112</v>
      </c>
      <c r="O30" s="29" t="s">
        <v>113</v>
      </c>
    </row>
    <row r="31" ht="19.5" customHeight="1">
      <c r="A31" s="30" t="s">
        <v>31</v>
      </c>
      <c r="B31" s="22">
        <v>2.0</v>
      </c>
      <c r="C31" s="23" t="s">
        <v>27</v>
      </c>
      <c r="D31" s="23" t="s">
        <v>32</v>
      </c>
      <c r="E31" s="24" t="s">
        <v>24</v>
      </c>
      <c r="F31" s="25" t="s">
        <v>114</v>
      </c>
      <c r="G31" s="22">
        <v>2027.0</v>
      </c>
      <c r="H31" s="26"/>
      <c r="I31" s="26"/>
      <c r="J31" s="14"/>
      <c r="K31" s="14"/>
      <c r="L31" s="24" t="s">
        <v>108</v>
      </c>
      <c r="M31" s="14" t="s">
        <v>111</v>
      </c>
      <c r="N31" s="14" t="s">
        <v>112</v>
      </c>
      <c r="O31" s="29" t="s">
        <v>113</v>
      </c>
    </row>
    <row r="32" ht="19.5" customHeight="1">
      <c r="A32" s="31" t="s">
        <v>31</v>
      </c>
      <c r="B32" s="12">
        <v>2.0</v>
      </c>
      <c r="C32" s="13" t="s">
        <v>27</v>
      </c>
      <c r="D32" s="13" t="s">
        <v>32</v>
      </c>
      <c r="E32" s="14" t="s">
        <v>24</v>
      </c>
      <c r="F32" s="15" t="s">
        <v>114</v>
      </c>
      <c r="G32" s="12">
        <v>2028.0</v>
      </c>
      <c r="H32" s="26"/>
      <c r="I32" s="26"/>
      <c r="J32" s="14"/>
      <c r="K32" s="14"/>
      <c r="L32" s="14" t="s">
        <v>108</v>
      </c>
      <c r="M32" s="14" t="s">
        <v>111</v>
      </c>
      <c r="N32" s="14" t="s">
        <v>112</v>
      </c>
      <c r="O32" s="29" t="s">
        <v>113</v>
      </c>
    </row>
    <row r="33" ht="19.5" customHeight="1">
      <c r="A33" s="30" t="s">
        <v>31</v>
      </c>
      <c r="B33" s="22">
        <v>2.0</v>
      </c>
      <c r="C33" s="23" t="s">
        <v>27</v>
      </c>
      <c r="D33" s="23" t="s">
        <v>32</v>
      </c>
      <c r="E33" s="24" t="s">
        <v>24</v>
      </c>
      <c r="F33" s="25" t="s">
        <v>114</v>
      </c>
      <c r="G33" s="22">
        <v>2029.0</v>
      </c>
      <c r="H33" s="26"/>
      <c r="I33" s="26"/>
      <c r="J33" s="14"/>
      <c r="K33" s="14"/>
      <c r="L33" s="24" t="s">
        <v>108</v>
      </c>
      <c r="M33" s="14" t="s">
        <v>111</v>
      </c>
      <c r="N33" s="14" t="s">
        <v>112</v>
      </c>
      <c r="O33" s="29" t="s">
        <v>113</v>
      </c>
    </row>
    <row r="34" ht="19.5" customHeight="1">
      <c r="A34" s="31" t="s">
        <v>33</v>
      </c>
      <c r="B34" s="12">
        <v>2.0</v>
      </c>
      <c r="C34" s="13" t="s">
        <v>27</v>
      </c>
      <c r="D34" s="13" t="s">
        <v>34</v>
      </c>
      <c r="E34" s="14" t="s">
        <v>24</v>
      </c>
      <c r="F34" s="15" t="s">
        <v>115</v>
      </c>
      <c r="G34" s="12">
        <v>2025.0</v>
      </c>
      <c r="H34" s="16">
        <v>4.34</v>
      </c>
      <c r="I34" s="32">
        <v>7.0</v>
      </c>
      <c r="J34" s="18">
        <f t="shared" ref="J34:J73" si="7">IFERROR(I34-H34,"")</f>
        <v>2.66</v>
      </c>
      <c r="K34" s="19">
        <f t="shared" ref="K34:K73" si="8">IFERROR(I34/H34-1,"")</f>
        <v>0.6129032258</v>
      </c>
      <c r="L34" s="14" t="s">
        <v>105</v>
      </c>
      <c r="M34" s="14" t="str">
        <f t="shared" ref="M34:M53" si="9">IF(I34="","Belum Diisi",IF(I34&lt;=H34,"On Track",IF(I34&lt;=H34*1.1,"Warning","Alert")))</f>
        <v>Alert</v>
      </c>
      <c r="N34" s="14" t="str">
        <f t="shared" ref="N34:N53" si="10">IF(I34="","Abu",IF(I34&lt;=H34,"Hijau",IF(I34&lt;=H34*1.1,"Kuning","Merah")))</f>
        <v>Merah</v>
      </c>
      <c r="O34" s="29" t="s">
        <v>107</v>
      </c>
    </row>
    <row r="35" ht="19.5" customHeight="1">
      <c r="A35" s="30" t="s">
        <v>33</v>
      </c>
      <c r="B35" s="22">
        <v>2.0</v>
      </c>
      <c r="C35" s="23" t="s">
        <v>27</v>
      </c>
      <c r="D35" s="23" t="s">
        <v>34</v>
      </c>
      <c r="E35" s="24" t="s">
        <v>24</v>
      </c>
      <c r="F35" s="25" t="s">
        <v>115</v>
      </c>
      <c r="G35" s="22">
        <v>2026.0</v>
      </c>
      <c r="H35" s="16">
        <v>4.27</v>
      </c>
      <c r="I35" s="26"/>
      <c r="J35" s="27">
        <f t="shared" si="7"/>
        <v>-4.27</v>
      </c>
      <c r="K35" s="28">
        <f t="shared" si="8"/>
        <v>-1</v>
      </c>
      <c r="L35" s="24" t="s">
        <v>105</v>
      </c>
      <c r="M35" s="24" t="str">
        <f t="shared" si="9"/>
        <v>Belum Diisi</v>
      </c>
      <c r="N35" s="24" t="str">
        <f t="shared" si="10"/>
        <v>Abu</v>
      </c>
      <c r="O35" s="29" t="s">
        <v>107</v>
      </c>
    </row>
    <row r="36" ht="19.5" customHeight="1">
      <c r="A36" s="31" t="s">
        <v>33</v>
      </c>
      <c r="B36" s="12">
        <v>2.0</v>
      </c>
      <c r="C36" s="13" t="s">
        <v>27</v>
      </c>
      <c r="D36" s="13" t="s">
        <v>34</v>
      </c>
      <c r="E36" s="14" t="s">
        <v>24</v>
      </c>
      <c r="F36" s="15" t="s">
        <v>115</v>
      </c>
      <c r="G36" s="12">
        <v>2027.0</v>
      </c>
      <c r="H36" s="16">
        <v>4.24</v>
      </c>
      <c r="I36" s="26"/>
      <c r="J36" s="18">
        <f t="shared" si="7"/>
        <v>-4.24</v>
      </c>
      <c r="K36" s="19">
        <f t="shared" si="8"/>
        <v>-1</v>
      </c>
      <c r="L36" s="14" t="s">
        <v>105</v>
      </c>
      <c r="M36" s="14" t="str">
        <f t="shared" si="9"/>
        <v>Belum Diisi</v>
      </c>
      <c r="N36" s="14" t="str">
        <f t="shared" si="10"/>
        <v>Abu</v>
      </c>
      <c r="O36" s="29" t="s">
        <v>107</v>
      </c>
    </row>
    <row r="37" ht="19.5" customHeight="1">
      <c r="A37" s="30" t="s">
        <v>33</v>
      </c>
      <c r="B37" s="22">
        <v>2.0</v>
      </c>
      <c r="C37" s="23" t="s">
        <v>27</v>
      </c>
      <c r="D37" s="23" t="s">
        <v>34</v>
      </c>
      <c r="E37" s="24" t="s">
        <v>24</v>
      </c>
      <c r="F37" s="25" t="s">
        <v>115</v>
      </c>
      <c r="G37" s="22">
        <v>2028.0</v>
      </c>
      <c r="H37" s="16">
        <v>4.22</v>
      </c>
      <c r="I37" s="26"/>
      <c r="J37" s="27">
        <f t="shared" si="7"/>
        <v>-4.22</v>
      </c>
      <c r="K37" s="28">
        <f t="shared" si="8"/>
        <v>-1</v>
      </c>
      <c r="L37" s="24" t="s">
        <v>105</v>
      </c>
      <c r="M37" s="24" t="str">
        <f t="shared" si="9"/>
        <v>Belum Diisi</v>
      </c>
      <c r="N37" s="24" t="str">
        <f t="shared" si="10"/>
        <v>Abu</v>
      </c>
      <c r="O37" s="29" t="s">
        <v>107</v>
      </c>
    </row>
    <row r="38" ht="19.5" customHeight="1">
      <c r="A38" s="31" t="s">
        <v>33</v>
      </c>
      <c r="B38" s="12">
        <v>2.0</v>
      </c>
      <c r="C38" s="13" t="s">
        <v>27</v>
      </c>
      <c r="D38" s="13" t="s">
        <v>34</v>
      </c>
      <c r="E38" s="14" t="s">
        <v>24</v>
      </c>
      <c r="F38" s="15" t="s">
        <v>115</v>
      </c>
      <c r="G38" s="12">
        <v>2029.0</v>
      </c>
      <c r="H38" s="16">
        <v>4.15</v>
      </c>
      <c r="I38" s="26"/>
      <c r="J38" s="18">
        <f t="shared" si="7"/>
        <v>-4.15</v>
      </c>
      <c r="K38" s="19">
        <f t="shared" si="8"/>
        <v>-1</v>
      </c>
      <c r="L38" s="14" t="s">
        <v>105</v>
      </c>
      <c r="M38" s="14" t="str">
        <f t="shared" si="9"/>
        <v>Belum Diisi</v>
      </c>
      <c r="N38" s="14" t="str">
        <f t="shared" si="10"/>
        <v>Abu</v>
      </c>
      <c r="O38" s="29" t="s">
        <v>107</v>
      </c>
    </row>
    <row r="39" ht="19.5" customHeight="1">
      <c r="A39" s="30" t="s">
        <v>35</v>
      </c>
      <c r="B39" s="22">
        <v>2.0</v>
      </c>
      <c r="C39" s="23" t="s">
        <v>27</v>
      </c>
      <c r="D39" s="23" t="s">
        <v>36</v>
      </c>
      <c r="E39" s="24" t="s">
        <v>37</v>
      </c>
      <c r="F39" s="25" t="s">
        <v>115</v>
      </c>
      <c r="G39" s="22">
        <v>2025.0</v>
      </c>
      <c r="H39" s="16">
        <v>11.2</v>
      </c>
      <c r="I39" s="26"/>
      <c r="J39" s="27">
        <f t="shared" si="7"/>
        <v>-11.2</v>
      </c>
      <c r="K39" s="28">
        <f t="shared" si="8"/>
        <v>-1</v>
      </c>
      <c r="L39" s="24" t="s">
        <v>105</v>
      </c>
      <c r="M39" s="24" t="str">
        <f t="shared" si="9"/>
        <v>Belum Diisi</v>
      </c>
      <c r="N39" s="24" t="str">
        <f t="shared" si="10"/>
        <v>Abu</v>
      </c>
      <c r="O39" s="29" t="s">
        <v>107</v>
      </c>
    </row>
    <row r="40" ht="19.5" customHeight="1">
      <c r="A40" s="31" t="s">
        <v>35</v>
      </c>
      <c r="B40" s="12">
        <v>2.0</v>
      </c>
      <c r="C40" s="13" t="s">
        <v>27</v>
      </c>
      <c r="D40" s="13" t="s">
        <v>36</v>
      </c>
      <c r="E40" s="14" t="s">
        <v>37</v>
      </c>
      <c r="F40" s="15" t="s">
        <v>115</v>
      </c>
      <c r="G40" s="12">
        <v>2026.0</v>
      </c>
      <c r="H40" s="16">
        <v>11.0</v>
      </c>
      <c r="I40" s="26"/>
      <c r="J40" s="18">
        <f t="shared" si="7"/>
        <v>-11</v>
      </c>
      <c r="K40" s="19">
        <f t="shared" si="8"/>
        <v>-1</v>
      </c>
      <c r="L40" s="14" t="s">
        <v>105</v>
      </c>
      <c r="M40" s="14" t="str">
        <f t="shared" si="9"/>
        <v>Belum Diisi</v>
      </c>
      <c r="N40" s="14" t="str">
        <f t="shared" si="10"/>
        <v>Abu</v>
      </c>
      <c r="O40" s="29" t="s">
        <v>107</v>
      </c>
    </row>
    <row r="41" ht="19.5" customHeight="1">
      <c r="A41" s="30" t="s">
        <v>35</v>
      </c>
      <c r="B41" s="22">
        <v>2.0</v>
      </c>
      <c r="C41" s="23" t="s">
        <v>27</v>
      </c>
      <c r="D41" s="23" t="s">
        <v>36</v>
      </c>
      <c r="E41" s="24" t="s">
        <v>37</v>
      </c>
      <c r="F41" s="25" t="s">
        <v>115</v>
      </c>
      <c r="G41" s="22">
        <v>2027.0</v>
      </c>
      <c r="H41" s="16">
        <v>10.8</v>
      </c>
      <c r="I41" s="26"/>
      <c r="J41" s="27">
        <f t="shared" si="7"/>
        <v>-10.8</v>
      </c>
      <c r="K41" s="28">
        <f t="shared" si="8"/>
        <v>-1</v>
      </c>
      <c r="L41" s="24" t="s">
        <v>105</v>
      </c>
      <c r="M41" s="24" t="str">
        <f t="shared" si="9"/>
        <v>Belum Diisi</v>
      </c>
      <c r="N41" s="24" t="str">
        <f t="shared" si="10"/>
        <v>Abu</v>
      </c>
      <c r="O41" s="29" t="s">
        <v>107</v>
      </c>
    </row>
    <row r="42" ht="19.5" customHeight="1">
      <c r="A42" s="31" t="s">
        <v>35</v>
      </c>
      <c r="B42" s="12">
        <v>2.0</v>
      </c>
      <c r="C42" s="13" t="s">
        <v>27</v>
      </c>
      <c r="D42" s="13" t="s">
        <v>36</v>
      </c>
      <c r="E42" s="14" t="s">
        <v>37</v>
      </c>
      <c r="F42" s="15" t="s">
        <v>115</v>
      </c>
      <c r="G42" s="12">
        <v>2028.0</v>
      </c>
      <c r="H42" s="16">
        <v>10.6</v>
      </c>
      <c r="I42" s="26"/>
      <c r="J42" s="18">
        <f t="shared" si="7"/>
        <v>-10.6</v>
      </c>
      <c r="K42" s="19">
        <f t="shared" si="8"/>
        <v>-1</v>
      </c>
      <c r="L42" s="14" t="s">
        <v>105</v>
      </c>
      <c r="M42" s="14" t="str">
        <f t="shared" si="9"/>
        <v>Belum Diisi</v>
      </c>
      <c r="N42" s="14" t="str">
        <f t="shared" si="10"/>
        <v>Abu</v>
      </c>
      <c r="O42" s="29" t="s">
        <v>107</v>
      </c>
    </row>
    <row r="43" ht="19.5" customHeight="1">
      <c r="A43" s="30" t="s">
        <v>35</v>
      </c>
      <c r="B43" s="22">
        <v>2.0</v>
      </c>
      <c r="C43" s="23" t="s">
        <v>27</v>
      </c>
      <c r="D43" s="23" t="s">
        <v>36</v>
      </c>
      <c r="E43" s="24" t="s">
        <v>37</v>
      </c>
      <c r="F43" s="25" t="s">
        <v>115</v>
      </c>
      <c r="G43" s="22">
        <v>2029.0</v>
      </c>
      <c r="H43" s="16">
        <v>10.4</v>
      </c>
      <c r="I43" s="26"/>
      <c r="J43" s="27">
        <f t="shared" si="7"/>
        <v>-10.4</v>
      </c>
      <c r="K43" s="28">
        <f t="shared" si="8"/>
        <v>-1</v>
      </c>
      <c r="L43" s="24" t="s">
        <v>105</v>
      </c>
      <c r="M43" s="24" t="str">
        <f t="shared" si="9"/>
        <v>Belum Diisi</v>
      </c>
      <c r="N43" s="24" t="str">
        <f t="shared" si="10"/>
        <v>Abu</v>
      </c>
      <c r="O43" s="29" t="s">
        <v>107</v>
      </c>
    </row>
    <row r="44" ht="19.5" customHeight="1">
      <c r="A44" s="31" t="s">
        <v>38</v>
      </c>
      <c r="B44" s="12">
        <v>2.0</v>
      </c>
      <c r="C44" s="13" t="s">
        <v>27</v>
      </c>
      <c r="D44" s="13" t="s">
        <v>39</v>
      </c>
      <c r="E44" s="14" t="s">
        <v>40</v>
      </c>
      <c r="F44" s="15" t="s">
        <v>115</v>
      </c>
      <c r="G44" s="12">
        <v>2025.0</v>
      </c>
      <c r="H44" s="16">
        <v>106.0</v>
      </c>
      <c r="I44" s="26"/>
      <c r="J44" s="18">
        <f t="shared" si="7"/>
        <v>-106</v>
      </c>
      <c r="K44" s="19">
        <f t="shared" si="8"/>
        <v>-1</v>
      </c>
      <c r="L44" s="14" t="s">
        <v>105</v>
      </c>
      <c r="M44" s="14" t="str">
        <f t="shared" si="9"/>
        <v>Belum Diisi</v>
      </c>
      <c r="N44" s="14" t="str">
        <f t="shared" si="10"/>
        <v>Abu</v>
      </c>
      <c r="O44" s="29" t="s">
        <v>107</v>
      </c>
    </row>
    <row r="45" ht="19.5" customHeight="1">
      <c r="A45" s="30" t="s">
        <v>38</v>
      </c>
      <c r="B45" s="22">
        <v>2.0</v>
      </c>
      <c r="C45" s="23" t="s">
        <v>27</v>
      </c>
      <c r="D45" s="23" t="s">
        <v>39</v>
      </c>
      <c r="E45" s="24" t="s">
        <v>40</v>
      </c>
      <c r="F45" s="25" t="s">
        <v>115</v>
      </c>
      <c r="G45" s="22">
        <v>2026.0</v>
      </c>
      <c r="H45" s="16">
        <v>105.0</v>
      </c>
      <c r="I45" s="26"/>
      <c r="J45" s="27">
        <f t="shared" si="7"/>
        <v>-105</v>
      </c>
      <c r="K45" s="28">
        <f t="shared" si="8"/>
        <v>-1</v>
      </c>
      <c r="L45" s="24" t="s">
        <v>105</v>
      </c>
      <c r="M45" s="24" t="str">
        <f t="shared" si="9"/>
        <v>Belum Diisi</v>
      </c>
      <c r="N45" s="24" t="str">
        <f t="shared" si="10"/>
        <v>Abu</v>
      </c>
      <c r="O45" s="29" t="s">
        <v>107</v>
      </c>
    </row>
    <row r="46" ht="19.5" customHeight="1">
      <c r="A46" s="31" t="s">
        <v>38</v>
      </c>
      <c r="B46" s="12">
        <v>2.0</v>
      </c>
      <c r="C46" s="13" t="s">
        <v>27</v>
      </c>
      <c r="D46" s="13" t="s">
        <v>39</v>
      </c>
      <c r="E46" s="14" t="s">
        <v>40</v>
      </c>
      <c r="F46" s="15" t="s">
        <v>115</v>
      </c>
      <c r="G46" s="12">
        <v>2027.0</v>
      </c>
      <c r="H46" s="16">
        <v>104.0</v>
      </c>
      <c r="I46" s="26"/>
      <c r="J46" s="18">
        <f t="shared" si="7"/>
        <v>-104</v>
      </c>
      <c r="K46" s="19">
        <f t="shared" si="8"/>
        <v>-1</v>
      </c>
      <c r="L46" s="14" t="s">
        <v>105</v>
      </c>
      <c r="M46" s="14" t="str">
        <f t="shared" si="9"/>
        <v>Belum Diisi</v>
      </c>
      <c r="N46" s="14" t="str">
        <f t="shared" si="10"/>
        <v>Abu</v>
      </c>
      <c r="O46" s="29" t="s">
        <v>107</v>
      </c>
    </row>
    <row r="47" ht="19.5" customHeight="1">
      <c r="A47" s="30" t="s">
        <v>38</v>
      </c>
      <c r="B47" s="22">
        <v>2.0</v>
      </c>
      <c r="C47" s="23" t="s">
        <v>27</v>
      </c>
      <c r="D47" s="23" t="s">
        <v>39</v>
      </c>
      <c r="E47" s="24" t="s">
        <v>40</v>
      </c>
      <c r="F47" s="25" t="s">
        <v>115</v>
      </c>
      <c r="G47" s="22">
        <v>2028.0</v>
      </c>
      <c r="H47" s="16">
        <v>103.0</v>
      </c>
      <c r="I47" s="26"/>
      <c r="J47" s="27">
        <f t="shared" si="7"/>
        <v>-103</v>
      </c>
      <c r="K47" s="28">
        <f t="shared" si="8"/>
        <v>-1</v>
      </c>
      <c r="L47" s="24" t="s">
        <v>105</v>
      </c>
      <c r="M47" s="24" t="str">
        <f t="shared" si="9"/>
        <v>Belum Diisi</v>
      </c>
      <c r="N47" s="24" t="str">
        <f t="shared" si="10"/>
        <v>Abu</v>
      </c>
      <c r="O47" s="29" t="s">
        <v>107</v>
      </c>
    </row>
    <row r="48" ht="19.5" customHeight="1">
      <c r="A48" s="31" t="s">
        <v>38</v>
      </c>
      <c r="B48" s="12">
        <v>2.0</v>
      </c>
      <c r="C48" s="13" t="s">
        <v>27</v>
      </c>
      <c r="D48" s="13" t="s">
        <v>39</v>
      </c>
      <c r="E48" s="14" t="s">
        <v>40</v>
      </c>
      <c r="F48" s="15" t="s">
        <v>115</v>
      </c>
      <c r="G48" s="12">
        <v>2029.0</v>
      </c>
      <c r="H48" s="16">
        <v>102.0</v>
      </c>
      <c r="I48" s="26"/>
      <c r="J48" s="18">
        <f t="shared" si="7"/>
        <v>-102</v>
      </c>
      <c r="K48" s="19">
        <f t="shared" si="8"/>
        <v>-1</v>
      </c>
      <c r="L48" s="14" t="s">
        <v>105</v>
      </c>
      <c r="M48" s="14" t="str">
        <f t="shared" si="9"/>
        <v>Belum Diisi</v>
      </c>
      <c r="N48" s="14" t="str">
        <f t="shared" si="10"/>
        <v>Abu</v>
      </c>
      <c r="O48" s="29" t="s">
        <v>107</v>
      </c>
    </row>
    <row r="49" ht="19.5" customHeight="1">
      <c r="A49" s="30" t="s">
        <v>41</v>
      </c>
      <c r="B49" s="22">
        <v>2.0</v>
      </c>
      <c r="C49" s="23" t="s">
        <v>27</v>
      </c>
      <c r="D49" s="23" t="s">
        <v>42</v>
      </c>
      <c r="E49" s="24" t="s">
        <v>24</v>
      </c>
      <c r="F49" s="25" t="s">
        <v>116</v>
      </c>
      <c r="G49" s="22">
        <v>2025.0</v>
      </c>
      <c r="H49" s="16">
        <v>8.38</v>
      </c>
      <c r="I49" s="26"/>
      <c r="J49" s="27">
        <f t="shared" si="7"/>
        <v>-8.38</v>
      </c>
      <c r="K49" s="28">
        <f t="shared" si="8"/>
        <v>-1</v>
      </c>
      <c r="L49" s="24" t="s">
        <v>105</v>
      </c>
      <c r="M49" s="24" t="str">
        <f t="shared" si="9"/>
        <v>Belum Diisi</v>
      </c>
      <c r="N49" s="24" t="str">
        <f t="shared" si="10"/>
        <v>Abu</v>
      </c>
      <c r="O49" s="29" t="s">
        <v>107</v>
      </c>
    </row>
    <row r="50" ht="19.5" customHeight="1">
      <c r="A50" s="31" t="s">
        <v>41</v>
      </c>
      <c r="B50" s="12">
        <v>2.0</v>
      </c>
      <c r="C50" s="13" t="s">
        <v>27</v>
      </c>
      <c r="D50" s="13" t="s">
        <v>42</v>
      </c>
      <c r="E50" s="14" t="s">
        <v>24</v>
      </c>
      <c r="F50" s="15" t="s">
        <v>116</v>
      </c>
      <c r="G50" s="12">
        <v>2026.0</v>
      </c>
      <c r="H50" s="16">
        <v>8.12</v>
      </c>
      <c r="I50" s="26"/>
      <c r="J50" s="18">
        <f t="shared" si="7"/>
        <v>-8.12</v>
      </c>
      <c r="K50" s="19">
        <f t="shared" si="8"/>
        <v>-1</v>
      </c>
      <c r="L50" s="14" t="s">
        <v>105</v>
      </c>
      <c r="M50" s="14" t="str">
        <f t="shared" si="9"/>
        <v>Belum Diisi</v>
      </c>
      <c r="N50" s="14" t="str">
        <f t="shared" si="10"/>
        <v>Abu</v>
      </c>
      <c r="O50" s="29" t="s">
        <v>107</v>
      </c>
    </row>
    <row r="51" ht="19.5" customHeight="1">
      <c r="A51" s="30" t="s">
        <v>41</v>
      </c>
      <c r="B51" s="22">
        <v>2.0</v>
      </c>
      <c r="C51" s="23" t="s">
        <v>27</v>
      </c>
      <c r="D51" s="23" t="s">
        <v>42</v>
      </c>
      <c r="E51" s="24" t="s">
        <v>24</v>
      </c>
      <c r="F51" s="25" t="s">
        <v>116</v>
      </c>
      <c r="G51" s="22">
        <v>2027.0</v>
      </c>
      <c r="H51" s="16">
        <v>7.85</v>
      </c>
      <c r="I51" s="26"/>
      <c r="J51" s="27">
        <f t="shared" si="7"/>
        <v>-7.85</v>
      </c>
      <c r="K51" s="28">
        <f t="shared" si="8"/>
        <v>-1</v>
      </c>
      <c r="L51" s="24" t="s">
        <v>105</v>
      </c>
      <c r="M51" s="24" t="str">
        <f t="shared" si="9"/>
        <v>Belum Diisi</v>
      </c>
      <c r="N51" s="24" t="str">
        <f t="shared" si="10"/>
        <v>Abu</v>
      </c>
      <c r="O51" s="29" t="s">
        <v>107</v>
      </c>
    </row>
    <row r="52" ht="19.5" customHeight="1">
      <c r="A52" s="31" t="s">
        <v>41</v>
      </c>
      <c r="B52" s="12">
        <v>2.0</v>
      </c>
      <c r="C52" s="13" t="s">
        <v>27</v>
      </c>
      <c r="D52" s="13" t="s">
        <v>42</v>
      </c>
      <c r="E52" s="14" t="s">
        <v>24</v>
      </c>
      <c r="F52" s="15" t="s">
        <v>116</v>
      </c>
      <c r="G52" s="12">
        <v>2028.0</v>
      </c>
      <c r="H52" s="16">
        <v>7.58</v>
      </c>
      <c r="I52" s="26"/>
      <c r="J52" s="18">
        <f t="shared" si="7"/>
        <v>-7.58</v>
      </c>
      <c r="K52" s="19">
        <f t="shared" si="8"/>
        <v>-1</v>
      </c>
      <c r="L52" s="14" t="s">
        <v>105</v>
      </c>
      <c r="M52" s="14" t="str">
        <f t="shared" si="9"/>
        <v>Belum Diisi</v>
      </c>
      <c r="N52" s="14" t="str">
        <f t="shared" si="10"/>
        <v>Abu</v>
      </c>
      <c r="O52" s="29" t="s">
        <v>107</v>
      </c>
    </row>
    <row r="53" ht="19.5" customHeight="1">
      <c r="A53" s="30" t="s">
        <v>41</v>
      </c>
      <c r="B53" s="22">
        <v>2.0</v>
      </c>
      <c r="C53" s="23" t="s">
        <v>27</v>
      </c>
      <c r="D53" s="23" t="s">
        <v>42</v>
      </c>
      <c r="E53" s="24" t="s">
        <v>24</v>
      </c>
      <c r="F53" s="25" t="s">
        <v>116</v>
      </c>
      <c r="G53" s="22">
        <v>2029.0</v>
      </c>
      <c r="H53" s="16">
        <v>7.31</v>
      </c>
      <c r="I53" s="26"/>
      <c r="J53" s="27">
        <f t="shared" si="7"/>
        <v>-7.31</v>
      </c>
      <c r="K53" s="28">
        <f t="shared" si="8"/>
        <v>-1</v>
      </c>
      <c r="L53" s="24" t="s">
        <v>105</v>
      </c>
      <c r="M53" s="24" t="str">
        <f t="shared" si="9"/>
        <v>Belum Diisi</v>
      </c>
      <c r="N53" s="24" t="str">
        <f t="shared" si="10"/>
        <v>Abu</v>
      </c>
      <c r="O53" s="29" t="s">
        <v>107</v>
      </c>
    </row>
    <row r="54" ht="19.5" customHeight="1">
      <c r="A54" s="31" t="s">
        <v>43</v>
      </c>
      <c r="B54" s="12">
        <v>2.0</v>
      </c>
      <c r="C54" s="13" t="s">
        <v>27</v>
      </c>
      <c r="D54" s="13" t="s">
        <v>44</v>
      </c>
      <c r="E54" s="14" t="s">
        <v>24</v>
      </c>
      <c r="F54" s="15" t="s">
        <v>114</v>
      </c>
      <c r="G54" s="12">
        <v>2025.0</v>
      </c>
      <c r="H54" s="16">
        <v>54.41</v>
      </c>
      <c r="I54" s="26"/>
      <c r="J54" s="18">
        <f t="shared" si="7"/>
        <v>-54.41</v>
      </c>
      <c r="K54" s="19">
        <f t="shared" si="8"/>
        <v>-1</v>
      </c>
      <c r="L54" s="14" t="s">
        <v>108</v>
      </c>
      <c r="M54" s="14" t="str">
        <f t="shared" ref="M54:M58" si="11">IF(I54="","Belum Diisi",IF(I54&gt;=H54,"On Track",IF(I54&gt;=H54*0.9,"Warning","Alert")))</f>
        <v>Belum Diisi</v>
      </c>
      <c r="N54" s="14" t="str">
        <f t="shared" ref="N54:N58" si="12">IF(I54="","Abu",IF(I54&gt;=H54,"Hijau",IF(I54&gt;=H54*0.9,"Kuning","Merah")))</f>
        <v>Abu</v>
      </c>
      <c r="O54" s="29" t="s">
        <v>107</v>
      </c>
    </row>
    <row r="55" ht="19.5" customHeight="1">
      <c r="A55" s="30" t="s">
        <v>43</v>
      </c>
      <c r="B55" s="22">
        <v>2.0</v>
      </c>
      <c r="C55" s="23" t="s">
        <v>27</v>
      </c>
      <c r="D55" s="23" t="s">
        <v>44</v>
      </c>
      <c r="E55" s="24" t="s">
        <v>24</v>
      </c>
      <c r="F55" s="25" t="s">
        <v>114</v>
      </c>
      <c r="G55" s="22">
        <v>2026.0</v>
      </c>
      <c r="H55" s="16">
        <v>55.29</v>
      </c>
      <c r="I55" s="26"/>
      <c r="J55" s="27">
        <f t="shared" si="7"/>
        <v>-55.29</v>
      </c>
      <c r="K55" s="28">
        <f t="shared" si="8"/>
        <v>-1</v>
      </c>
      <c r="L55" s="24" t="s">
        <v>108</v>
      </c>
      <c r="M55" s="24" t="str">
        <f t="shared" si="11"/>
        <v>Belum Diisi</v>
      </c>
      <c r="N55" s="24" t="str">
        <f t="shared" si="12"/>
        <v>Abu</v>
      </c>
      <c r="O55" s="29" t="s">
        <v>107</v>
      </c>
    </row>
    <row r="56" ht="19.5" customHeight="1">
      <c r="A56" s="31" t="s">
        <v>43</v>
      </c>
      <c r="B56" s="12">
        <v>2.0</v>
      </c>
      <c r="C56" s="13" t="s">
        <v>27</v>
      </c>
      <c r="D56" s="13" t="s">
        <v>44</v>
      </c>
      <c r="E56" s="14" t="s">
        <v>24</v>
      </c>
      <c r="F56" s="15" t="s">
        <v>114</v>
      </c>
      <c r="G56" s="12">
        <v>2027.0</v>
      </c>
      <c r="H56" s="16">
        <v>56.18</v>
      </c>
      <c r="I56" s="26"/>
      <c r="J56" s="18">
        <f t="shared" si="7"/>
        <v>-56.18</v>
      </c>
      <c r="K56" s="19">
        <f t="shared" si="8"/>
        <v>-1</v>
      </c>
      <c r="L56" s="14" t="s">
        <v>108</v>
      </c>
      <c r="M56" s="14" t="str">
        <f t="shared" si="11"/>
        <v>Belum Diisi</v>
      </c>
      <c r="N56" s="14" t="str">
        <f t="shared" si="12"/>
        <v>Abu</v>
      </c>
      <c r="O56" s="29" t="s">
        <v>107</v>
      </c>
    </row>
    <row r="57" ht="19.5" customHeight="1">
      <c r="A57" s="30" t="s">
        <v>43</v>
      </c>
      <c r="B57" s="22">
        <v>2.0</v>
      </c>
      <c r="C57" s="23" t="s">
        <v>27</v>
      </c>
      <c r="D57" s="23" t="s">
        <v>44</v>
      </c>
      <c r="E57" s="24" t="s">
        <v>24</v>
      </c>
      <c r="F57" s="25" t="s">
        <v>114</v>
      </c>
      <c r="G57" s="22">
        <v>2028.0</v>
      </c>
      <c r="H57" s="16">
        <v>57.06</v>
      </c>
      <c r="I57" s="26"/>
      <c r="J57" s="27">
        <f t="shared" si="7"/>
        <v>-57.06</v>
      </c>
      <c r="K57" s="28">
        <f t="shared" si="8"/>
        <v>-1</v>
      </c>
      <c r="L57" s="24" t="s">
        <v>108</v>
      </c>
      <c r="M57" s="24" t="str">
        <f t="shared" si="11"/>
        <v>Belum Diisi</v>
      </c>
      <c r="N57" s="24" t="str">
        <f t="shared" si="12"/>
        <v>Abu</v>
      </c>
      <c r="O57" s="29" t="s">
        <v>107</v>
      </c>
    </row>
    <row r="58" ht="19.5" customHeight="1">
      <c r="A58" s="31" t="s">
        <v>43</v>
      </c>
      <c r="B58" s="12">
        <v>2.0</v>
      </c>
      <c r="C58" s="13" t="s">
        <v>27</v>
      </c>
      <c r="D58" s="13" t="s">
        <v>44</v>
      </c>
      <c r="E58" s="14" t="s">
        <v>24</v>
      </c>
      <c r="F58" s="15" t="s">
        <v>114</v>
      </c>
      <c r="G58" s="12">
        <v>2029.0</v>
      </c>
      <c r="H58" s="16">
        <v>57.95</v>
      </c>
      <c r="I58" s="26"/>
      <c r="J58" s="18">
        <f t="shared" si="7"/>
        <v>-57.95</v>
      </c>
      <c r="K58" s="19">
        <f t="shared" si="8"/>
        <v>-1</v>
      </c>
      <c r="L58" s="14" t="s">
        <v>108</v>
      </c>
      <c r="M58" s="14" t="str">
        <f t="shared" si="11"/>
        <v>Belum Diisi</v>
      </c>
      <c r="N58" s="14" t="str">
        <f t="shared" si="12"/>
        <v>Abu</v>
      </c>
      <c r="O58" s="29" t="s">
        <v>107</v>
      </c>
    </row>
    <row r="59" ht="19.5" customHeight="1">
      <c r="A59" s="30" t="s">
        <v>45</v>
      </c>
      <c r="B59" s="22">
        <v>2.0</v>
      </c>
      <c r="C59" s="23" t="s">
        <v>27</v>
      </c>
      <c r="D59" s="23" t="s">
        <v>46</v>
      </c>
      <c r="E59" s="24" t="s">
        <v>24</v>
      </c>
      <c r="F59" s="25" t="s">
        <v>114</v>
      </c>
      <c r="G59" s="22">
        <v>2025.0</v>
      </c>
      <c r="H59" s="16">
        <v>6.3</v>
      </c>
      <c r="I59" s="26"/>
      <c r="J59" s="27">
        <f t="shared" si="7"/>
        <v>-6.3</v>
      </c>
      <c r="K59" s="28">
        <f t="shared" si="8"/>
        <v>-1</v>
      </c>
      <c r="L59" s="24" t="s">
        <v>105</v>
      </c>
      <c r="M59" s="24" t="str">
        <f t="shared" ref="M59:M63" si="13">IF(I59="","Belum Diisi",IF(I59&lt;=H59,"On Track",IF(I59&lt;=H59*1.1,"Warning","Alert")))</f>
        <v>Belum Diisi</v>
      </c>
      <c r="N59" s="24" t="str">
        <f t="shared" ref="N59:N63" si="14">IF(I59="","Abu",IF(I59&lt;=H59,"Hijau",IF(I59&lt;=H59*1.1,"Kuning","Merah")))</f>
        <v>Abu</v>
      </c>
      <c r="O59" s="29" t="s">
        <v>107</v>
      </c>
    </row>
    <row r="60" ht="19.5" customHeight="1">
      <c r="A60" s="31" t="s">
        <v>45</v>
      </c>
      <c r="B60" s="12">
        <v>2.0</v>
      </c>
      <c r="C60" s="13" t="s">
        <v>27</v>
      </c>
      <c r="D60" s="13" t="s">
        <v>46</v>
      </c>
      <c r="E60" s="14" t="s">
        <v>24</v>
      </c>
      <c r="F60" s="15" t="s">
        <v>114</v>
      </c>
      <c r="G60" s="12">
        <v>2026.0</v>
      </c>
      <c r="H60" s="16">
        <v>6.31</v>
      </c>
      <c r="I60" s="26"/>
      <c r="J60" s="18">
        <f t="shared" si="7"/>
        <v>-6.31</v>
      </c>
      <c r="K60" s="19">
        <f t="shared" si="8"/>
        <v>-1</v>
      </c>
      <c r="L60" s="14" t="s">
        <v>105</v>
      </c>
      <c r="M60" s="14" t="str">
        <f t="shared" si="13"/>
        <v>Belum Diisi</v>
      </c>
      <c r="N60" s="14" t="str">
        <f t="shared" si="14"/>
        <v>Abu</v>
      </c>
      <c r="O60" s="29" t="s">
        <v>107</v>
      </c>
    </row>
    <row r="61" ht="19.5" customHeight="1">
      <c r="A61" s="30" t="s">
        <v>45</v>
      </c>
      <c r="B61" s="22">
        <v>2.0</v>
      </c>
      <c r="C61" s="23" t="s">
        <v>27</v>
      </c>
      <c r="D61" s="23" t="s">
        <v>46</v>
      </c>
      <c r="E61" s="24" t="s">
        <v>24</v>
      </c>
      <c r="F61" s="25" t="s">
        <v>114</v>
      </c>
      <c r="G61" s="22">
        <v>2027.0</v>
      </c>
      <c r="H61" s="16">
        <v>6.32</v>
      </c>
      <c r="I61" s="26"/>
      <c r="J61" s="27">
        <f t="shared" si="7"/>
        <v>-6.32</v>
      </c>
      <c r="K61" s="28">
        <f t="shared" si="8"/>
        <v>-1</v>
      </c>
      <c r="L61" s="24" t="s">
        <v>105</v>
      </c>
      <c r="M61" s="24" t="str">
        <f t="shared" si="13"/>
        <v>Belum Diisi</v>
      </c>
      <c r="N61" s="24" t="str">
        <f t="shared" si="14"/>
        <v>Abu</v>
      </c>
      <c r="O61" s="29" t="s">
        <v>107</v>
      </c>
    </row>
    <row r="62" ht="19.5" customHeight="1">
      <c r="A62" s="31" t="s">
        <v>45</v>
      </c>
      <c r="B62" s="12">
        <v>2.0</v>
      </c>
      <c r="C62" s="13" t="s">
        <v>27</v>
      </c>
      <c r="D62" s="13" t="s">
        <v>46</v>
      </c>
      <c r="E62" s="14" t="s">
        <v>24</v>
      </c>
      <c r="F62" s="15" t="s">
        <v>114</v>
      </c>
      <c r="G62" s="12">
        <v>2028.0</v>
      </c>
      <c r="H62" s="16">
        <v>6.33</v>
      </c>
      <c r="I62" s="26"/>
      <c r="J62" s="18">
        <f t="shared" si="7"/>
        <v>-6.33</v>
      </c>
      <c r="K62" s="19">
        <f t="shared" si="8"/>
        <v>-1</v>
      </c>
      <c r="L62" s="14" t="s">
        <v>105</v>
      </c>
      <c r="M62" s="14" t="str">
        <f t="shared" si="13"/>
        <v>Belum Diisi</v>
      </c>
      <c r="N62" s="14" t="str">
        <f t="shared" si="14"/>
        <v>Abu</v>
      </c>
      <c r="O62" s="29" t="s">
        <v>107</v>
      </c>
    </row>
    <row r="63" ht="19.5" customHeight="1">
      <c r="A63" s="30" t="s">
        <v>45</v>
      </c>
      <c r="B63" s="22">
        <v>2.0</v>
      </c>
      <c r="C63" s="23" t="s">
        <v>27</v>
      </c>
      <c r="D63" s="23" t="s">
        <v>46</v>
      </c>
      <c r="E63" s="24" t="s">
        <v>24</v>
      </c>
      <c r="F63" s="25" t="s">
        <v>114</v>
      </c>
      <c r="G63" s="22">
        <v>2029.0</v>
      </c>
      <c r="H63" s="16">
        <v>6.34</v>
      </c>
      <c r="I63" s="26"/>
      <c r="J63" s="27">
        <f t="shared" si="7"/>
        <v>-6.34</v>
      </c>
      <c r="K63" s="28">
        <f t="shared" si="8"/>
        <v>-1</v>
      </c>
      <c r="L63" s="24" t="s">
        <v>105</v>
      </c>
      <c r="M63" s="24" t="str">
        <f t="shared" si="13"/>
        <v>Belum Diisi</v>
      </c>
      <c r="N63" s="24" t="str">
        <f t="shared" si="14"/>
        <v>Abu</v>
      </c>
      <c r="O63" s="29" t="s">
        <v>107</v>
      </c>
    </row>
    <row r="64" ht="19.5" customHeight="1">
      <c r="A64" s="31" t="s">
        <v>47</v>
      </c>
      <c r="B64" s="12">
        <v>2.0</v>
      </c>
      <c r="C64" s="13" t="s">
        <v>27</v>
      </c>
      <c r="D64" s="13" t="s">
        <v>48</v>
      </c>
      <c r="E64" s="14" t="s">
        <v>24</v>
      </c>
      <c r="F64" s="15" t="s">
        <v>114</v>
      </c>
      <c r="G64" s="12">
        <v>2025.0</v>
      </c>
      <c r="H64" s="16">
        <v>0.024</v>
      </c>
      <c r="I64" s="26"/>
      <c r="J64" s="18">
        <f t="shared" si="7"/>
        <v>-0.024</v>
      </c>
      <c r="K64" s="19">
        <f t="shared" si="8"/>
        <v>-1</v>
      </c>
      <c r="L64" s="14" t="s">
        <v>108</v>
      </c>
      <c r="M64" s="14" t="str">
        <f t="shared" ref="M64:M68" si="15">IF(I64="","Belum Diisi",IF(I64&gt;=H64,"On Track",IF(I64&gt;=H64*0.9,"Warning","Alert")))</f>
        <v>Belum Diisi</v>
      </c>
      <c r="N64" s="14" t="str">
        <f t="shared" ref="N64:N68" si="16">IF(I64="","Abu",IF(I64&gt;=H64,"Hijau",IF(I64&gt;=H64*0.9,"Kuning","Merah")))</f>
        <v>Abu</v>
      </c>
      <c r="O64" s="29" t="s">
        <v>107</v>
      </c>
    </row>
    <row r="65" ht="19.5" customHeight="1">
      <c r="A65" s="30" t="s">
        <v>47</v>
      </c>
      <c r="B65" s="22">
        <v>2.0</v>
      </c>
      <c r="C65" s="23" t="s">
        <v>27</v>
      </c>
      <c r="D65" s="23" t="s">
        <v>48</v>
      </c>
      <c r="E65" s="24" t="s">
        <v>24</v>
      </c>
      <c r="F65" s="25" t="s">
        <v>114</v>
      </c>
      <c r="G65" s="22">
        <v>2026.0</v>
      </c>
      <c r="H65" s="16">
        <v>0.025</v>
      </c>
      <c r="I65" s="26"/>
      <c r="J65" s="27">
        <f t="shared" si="7"/>
        <v>-0.025</v>
      </c>
      <c r="K65" s="28">
        <f t="shared" si="8"/>
        <v>-1</v>
      </c>
      <c r="L65" s="24" t="s">
        <v>108</v>
      </c>
      <c r="M65" s="24" t="str">
        <f t="shared" si="15"/>
        <v>Belum Diisi</v>
      </c>
      <c r="N65" s="24" t="str">
        <f t="shared" si="16"/>
        <v>Abu</v>
      </c>
      <c r="O65" s="29" t="s">
        <v>107</v>
      </c>
    </row>
    <row r="66" ht="19.5" customHeight="1">
      <c r="A66" s="31" t="s">
        <v>47</v>
      </c>
      <c r="B66" s="12">
        <v>2.0</v>
      </c>
      <c r="C66" s="13" t="s">
        <v>27</v>
      </c>
      <c r="D66" s="13" t="s">
        <v>48</v>
      </c>
      <c r="E66" s="14" t="s">
        <v>24</v>
      </c>
      <c r="F66" s="15" t="s">
        <v>114</v>
      </c>
      <c r="G66" s="12">
        <v>2027.0</v>
      </c>
      <c r="H66" s="16">
        <v>0.026</v>
      </c>
      <c r="I66" s="26"/>
      <c r="J66" s="18">
        <f t="shared" si="7"/>
        <v>-0.026</v>
      </c>
      <c r="K66" s="19">
        <f t="shared" si="8"/>
        <v>-1</v>
      </c>
      <c r="L66" s="14" t="s">
        <v>108</v>
      </c>
      <c r="M66" s="14" t="str">
        <f t="shared" si="15"/>
        <v>Belum Diisi</v>
      </c>
      <c r="N66" s="14" t="str">
        <f t="shared" si="16"/>
        <v>Abu</v>
      </c>
      <c r="O66" s="29" t="s">
        <v>107</v>
      </c>
    </row>
    <row r="67" ht="19.5" customHeight="1">
      <c r="A67" s="30" t="s">
        <v>47</v>
      </c>
      <c r="B67" s="22">
        <v>2.0</v>
      </c>
      <c r="C67" s="23" t="s">
        <v>27</v>
      </c>
      <c r="D67" s="23" t="s">
        <v>48</v>
      </c>
      <c r="E67" s="24" t="s">
        <v>24</v>
      </c>
      <c r="F67" s="25" t="s">
        <v>114</v>
      </c>
      <c r="G67" s="22">
        <v>2028.0</v>
      </c>
      <c r="H67" s="16">
        <v>0.027</v>
      </c>
      <c r="I67" s="26"/>
      <c r="J67" s="27">
        <f t="shared" si="7"/>
        <v>-0.027</v>
      </c>
      <c r="K67" s="28">
        <f t="shared" si="8"/>
        <v>-1</v>
      </c>
      <c r="L67" s="24" t="s">
        <v>108</v>
      </c>
      <c r="M67" s="24" t="str">
        <f t="shared" si="15"/>
        <v>Belum Diisi</v>
      </c>
      <c r="N67" s="24" t="str">
        <f t="shared" si="16"/>
        <v>Abu</v>
      </c>
      <c r="O67" s="29" t="s">
        <v>107</v>
      </c>
    </row>
    <row r="68" ht="19.5" customHeight="1">
      <c r="A68" s="31" t="s">
        <v>47</v>
      </c>
      <c r="B68" s="12">
        <v>2.0</v>
      </c>
      <c r="C68" s="13" t="s">
        <v>27</v>
      </c>
      <c r="D68" s="13" t="s">
        <v>48</v>
      </c>
      <c r="E68" s="14" t="s">
        <v>24</v>
      </c>
      <c r="F68" s="15" t="s">
        <v>114</v>
      </c>
      <c r="G68" s="12">
        <v>2029.0</v>
      </c>
      <c r="H68" s="16">
        <v>0.028</v>
      </c>
      <c r="I68" s="26"/>
      <c r="J68" s="18">
        <f t="shared" si="7"/>
        <v>-0.028</v>
      </c>
      <c r="K68" s="19">
        <f t="shared" si="8"/>
        <v>-1</v>
      </c>
      <c r="L68" s="14" t="s">
        <v>108</v>
      </c>
      <c r="M68" s="14" t="str">
        <f t="shared" si="15"/>
        <v>Belum Diisi</v>
      </c>
      <c r="N68" s="14" t="str">
        <f t="shared" si="16"/>
        <v>Abu</v>
      </c>
      <c r="O68" s="29" t="s">
        <v>107</v>
      </c>
    </row>
    <row r="69" ht="19.5" customHeight="1">
      <c r="A69" s="30" t="s">
        <v>49</v>
      </c>
      <c r="B69" s="22">
        <v>2.0</v>
      </c>
      <c r="C69" s="23" t="s">
        <v>27</v>
      </c>
      <c r="D69" s="23" t="s">
        <v>50</v>
      </c>
      <c r="E69" s="24" t="s">
        <v>51</v>
      </c>
      <c r="F69" s="25" t="s">
        <v>116</v>
      </c>
      <c r="G69" s="22">
        <v>2025.0</v>
      </c>
      <c r="H69" s="16">
        <v>0.352</v>
      </c>
      <c r="I69" s="26"/>
      <c r="J69" s="27">
        <f t="shared" si="7"/>
        <v>-0.352</v>
      </c>
      <c r="K69" s="28">
        <f t="shared" si="8"/>
        <v>-1</v>
      </c>
      <c r="L69" s="24" t="s">
        <v>105</v>
      </c>
      <c r="M69" s="24" t="str">
        <f t="shared" ref="M69:M73" si="17">IF(I69="","Belum Diisi",IF(I69&lt;=H69,"On Track",IF(I69&lt;=H69*1.1,"Warning","Alert")))</f>
        <v>Belum Diisi</v>
      </c>
      <c r="N69" s="24" t="str">
        <f t="shared" ref="N69:N73" si="18">IF(I69="","Abu",IF(I69&lt;=H69,"Hijau",IF(I69&lt;=H69*1.1,"Kuning","Merah")))</f>
        <v>Abu</v>
      </c>
      <c r="O69" s="29" t="s">
        <v>107</v>
      </c>
    </row>
    <row r="70" ht="19.5" customHeight="1">
      <c r="A70" s="31" t="s">
        <v>49</v>
      </c>
      <c r="B70" s="12">
        <v>2.0</v>
      </c>
      <c r="C70" s="13" t="s">
        <v>27</v>
      </c>
      <c r="D70" s="13" t="s">
        <v>50</v>
      </c>
      <c r="E70" s="14" t="s">
        <v>51</v>
      </c>
      <c r="F70" s="15" t="s">
        <v>116</v>
      </c>
      <c r="G70" s="12">
        <v>2026.0</v>
      </c>
      <c r="H70" s="16">
        <v>0.341</v>
      </c>
      <c r="I70" s="26"/>
      <c r="J70" s="18">
        <f t="shared" si="7"/>
        <v>-0.341</v>
      </c>
      <c r="K70" s="19">
        <f t="shared" si="8"/>
        <v>-1</v>
      </c>
      <c r="L70" s="14" t="s">
        <v>105</v>
      </c>
      <c r="M70" s="14" t="str">
        <f t="shared" si="17"/>
        <v>Belum Diisi</v>
      </c>
      <c r="N70" s="14" t="str">
        <f t="shared" si="18"/>
        <v>Abu</v>
      </c>
      <c r="O70" s="29" t="s">
        <v>107</v>
      </c>
    </row>
    <row r="71" ht="19.5" customHeight="1">
      <c r="A71" s="30" t="s">
        <v>49</v>
      </c>
      <c r="B71" s="22">
        <v>2.0</v>
      </c>
      <c r="C71" s="23" t="s">
        <v>27</v>
      </c>
      <c r="D71" s="23" t="s">
        <v>50</v>
      </c>
      <c r="E71" s="24" t="s">
        <v>51</v>
      </c>
      <c r="F71" s="25" t="s">
        <v>116</v>
      </c>
      <c r="G71" s="22">
        <v>2027.0</v>
      </c>
      <c r="H71" s="16">
        <v>0.33</v>
      </c>
      <c r="I71" s="26"/>
      <c r="J71" s="27">
        <f t="shared" si="7"/>
        <v>-0.33</v>
      </c>
      <c r="K71" s="28">
        <f t="shared" si="8"/>
        <v>-1</v>
      </c>
      <c r="L71" s="24" t="s">
        <v>105</v>
      </c>
      <c r="M71" s="24" t="str">
        <f t="shared" si="17"/>
        <v>Belum Diisi</v>
      </c>
      <c r="N71" s="24" t="str">
        <f t="shared" si="18"/>
        <v>Abu</v>
      </c>
      <c r="O71" s="29" t="s">
        <v>107</v>
      </c>
    </row>
    <row r="72" ht="19.5" customHeight="1">
      <c r="A72" s="31" t="s">
        <v>49</v>
      </c>
      <c r="B72" s="12">
        <v>2.0</v>
      </c>
      <c r="C72" s="13" t="s">
        <v>27</v>
      </c>
      <c r="D72" s="13" t="s">
        <v>50</v>
      </c>
      <c r="E72" s="14" t="s">
        <v>51</v>
      </c>
      <c r="F72" s="15" t="s">
        <v>116</v>
      </c>
      <c r="G72" s="12">
        <v>2028.0</v>
      </c>
      <c r="H72" s="16">
        <v>0.319</v>
      </c>
      <c r="I72" s="26"/>
      <c r="J72" s="18">
        <f t="shared" si="7"/>
        <v>-0.319</v>
      </c>
      <c r="K72" s="19">
        <f t="shared" si="8"/>
        <v>-1</v>
      </c>
      <c r="L72" s="14" t="s">
        <v>105</v>
      </c>
      <c r="M72" s="14" t="str">
        <f t="shared" si="17"/>
        <v>Belum Diisi</v>
      </c>
      <c r="N72" s="14" t="str">
        <f t="shared" si="18"/>
        <v>Abu</v>
      </c>
      <c r="O72" s="29" t="s">
        <v>107</v>
      </c>
    </row>
    <row r="73" ht="19.5" customHeight="1">
      <c r="A73" s="30" t="s">
        <v>49</v>
      </c>
      <c r="B73" s="22">
        <v>2.0</v>
      </c>
      <c r="C73" s="23" t="s">
        <v>27</v>
      </c>
      <c r="D73" s="23" t="s">
        <v>50</v>
      </c>
      <c r="E73" s="24" t="s">
        <v>51</v>
      </c>
      <c r="F73" s="25" t="s">
        <v>116</v>
      </c>
      <c r="G73" s="22">
        <v>2029.0</v>
      </c>
      <c r="H73" s="16">
        <v>0.308</v>
      </c>
      <c r="I73" s="26"/>
      <c r="J73" s="27">
        <f t="shared" si="7"/>
        <v>-0.308</v>
      </c>
      <c r="K73" s="28">
        <f t="shared" si="8"/>
        <v>-1</v>
      </c>
      <c r="L73" s="24" t="s">
        <v>105</v>
      </c>
      <c r="M73" s="24" t="str">
        <f t="shared" si="17"/>
        <v>Belum Diisi</v>
      </c>
      <c r="N73" s="24" t="str">
        <f t="shared" si="18"/>
        <v>Abu</v>
      </c>
      <c r="O73" s="29" t="s">
        <v>107</v>
      </c>
    </row>
    <row r="74" ht="19.5" customHeight="1">
      <c r="A74" s="31" t="s">
        <v>52</v>
      </c>
      <c r="B74" s="12">
        <v>2.0</v>
      </c>
      <c r="C74" s="13" t="s">
        <v>27</v>
      </c>
      <c r="D74" s="13" t="s">
        <v>53</v>
      </c>
      <c r="E74" s="14" t="s">
        <v>54</v>
      </c>
      <c r="F74" s="15" t="s">
        <v>116</v>
      </c>
      <c r="G74" s="12">
        <v>2025.0</v>
      </c>
      <c r="H74" s="26"/>
      <c r="I74" s="26"/>
      <c r="J74" s="14"/>
      <c r="K74" s="14"/>
      <c r="L74" s="14" t="s">
        <v>108</v>
      </c>
      <c r="M74" s="14" t="s">
        <v>111</v>
      </c>
      <c r="N74" s="14" t="s">
        <v>112</v>
      </c>
      <c r="O74" s="29" t="s">
        <v>113</v>
      </c>
    </row>
    <row r="75" ht="19.5" customHeight="1">
      <c r="A75" s="30" t="s">
        <v>52</v>
      </c>
      <c r="B75" s="22">
        <v>2.0</v>
      </c>
      <c r="C75" s="23" t="s">
        <v>27</v>
      </c>
      <c r="D75" s="23" t="s">
        <v>53</v>
      </c>
      <c r="E75" s="24" t="s">
        <v>54</v>
      </c>
      <c r="F75" s="25" t="s">
        <v>116</v>
      </c>
      <c r="G75" s="22">
        <v>2026.0</v>
      </c>
      <c r="H75" s="26"/>
      <c r="I75" s="26"/>
      <c r="J75" s="14"/>
      <c r="K75" s="14"/>
      <c r="L75" s="24" t="s">
        <v>108</v>
      </c>
      <c r="M75" s="14" t="s">
        <v>111</v>
      </c>
      <c r="N75" s="14" t="s">
        <v>112</v>
      </c>
      <c r="O75" s="29" t="s">
        <v>113</v>
      </c>
    </row>
    <row r="76" ht="19.5" customHeight="1">
      <c r="A76" s="31" t="s">
        <v>52</v>
      </c>
      <c r="B76" s="12">
        <v>2.0</v>
      </c>
      <c r="C76" s="13" t="s">
        <v>27</v>
      </c>
      <c r="D76" s="13" t="s">
        <v>53</v>
      </c>
      <c r="E76" s="14" t="s">
        <v>54</v>
      </c>
      <c r="F76" s="15" t="s">
        <v>116</v>
      </c>
      <c r="G76" s="12">
        <v>2027.0</v>
      </c>
      <c r="H76" s="26"/>
      <c r="I76" s="26"/>
      <c r="J76" s="14"/>
      <c r="K76" s="14"/>
      <c r="L76" s="14" t="s">
        <v>108</v>
      </c>
      <c r="M76" s="14" t="s">
        <v>111</v>
      </c>
      <c r="N76" s="14" t="s">
        <v>112</v>
      </c>
      <c r="O76" s="29" t="s">
        <v>113</v>
      </c>
    </row>
    <row r="77" ht="19.5" customHeight="1">
      <c r="A77" s="30" t="s">
        <v>52</v>
      </c>
      <c r="B77" s="22">
        <v>2.0</v>
      </c>
      <c r="C77" s="23" t="s">
        <v>27</v>
      </c>
      <c r="D77" s="23" t="s">
        <v>53</v>
      </c>
      <c r="E77" s="24" t="s">
        <v>54</v>
      </c>
      <c r="F77" s="25" t="s">
        <v>116</v>
      </c>
      <c r="G77" s="22">
        <v>2028.0</v>
      </c>
      <c r="H77" s="26"/>
      <c r="I77" s="26"/>
      <c r="J77" s="14"/>
      <c r="K77" s="14"/>
      <c r="L77" s="24" t="s">
        <v>108</v>
      </c>
      <c r="M77" s="14" t="s">
        <v>111</v>
      </c>
      <c r="N77" s="14" t="s">
        <v>112</v>
      </c>
      <c r="O77" s="29" t="s">
        <v>113</v>
      </c>
    </row>
    <row r="78" ht="19.5" customHeight="1">
      <c r="A78" s="31" t="s">
        <v>52</v>
      </c>
      <c r="B78" s="12">
        <v>2.0</v>
      </c>
      <c r="C78" s="13" t="s">
        <v>27</v>
      </c>
      <c r="D78" s="13" t="s">
        <v>53</v>
      </c>
      <c r="E78" s="14" t="s">
        <v>54</v>
      </c>
      <c r="F78" s="15" t="s">
        <v>116</v>
      </c>
      <c r="G78" s="12">
        <v>2029.0</v>
      </c>
      <c r="H78" s="26"/>
      <c r="I78" s="26"/>
      <c r="J78" s="14"/>
      <c r="K78" s="14"/>
      <c r="L78" s="14" t="s">
        <v>108</v>
      </c>
      <c r="M78" s="14" t="s">
        <v>111</v>
      </c>
      <c r="N78" s="14" t="s">
        <v>112</v>
      </c>
      <c r="O78" s="29" t="s">
        <v>113</v>
      </c>
    </row>
    <row r="79" ht="19.5" customHeight="1">
      <c r="A79" s="30" t="s">
        <v>55</v>
      </c>
      <c r="B79" s="22">
        <v>2.0</v>
      </c>
      <c r="C79" s="23" t="s">
        <v>27</v>
      </c>
      <c r="D79" s="23" t="s">
        <v>56</v>
      </c>
      <c r="E79" s="24" t="s">
        <v>24</v>
      </c>
      <c r="F79" s="25" t="s">
        <v>114</v>
      </c>
      <c r="G79" s="22">
        <v>2025.0</v>
      </c>
      <c r="H79" s="16">
        <v>3.38</v>
      </c>
      <c r="I79" s="26"/>
      <c r="J79" s="27">
        <f t="shared" ref="J79:J83" si="19">IFERROR(I79-H79,"")</f>
        <v>-3.38</v>
      </c>
      <c r="K79" s="28">
        <f t="shared" ref="K79:K83" si="20">IFERROR(I79/H79-1,"")</f>
        <v>-1</v>
      </c>
      <c r="L79" s="24" t="s">
        <v>105</v>
      </c>
      <c r="M79" s="24" t="str">
        <f t="shared" ref="M79:M83" si="21">IF(I79="","Belum Diisi",IF(I79&lt;=H79,"On Track",IF(I79&lt;=H79*1.1,"Warning","Alert")))</f>
        <v>Belum Diisi</v>
      </c>
      <c r="N79" s="24" t="str">
        <f t="shared" ref="N79:N83" si="22">IF(I79="","Abu",IF(I79&lt;=H79,"Hijau",IF(I79&lt;=H79*1.1,"Kuning","Merah")))</f>
        <v>Abu</v>
      </c>
      <c r="O79" s="29" t="s">
        <v>107</v>
      </c>
    </row>
    <row r="80" ht="19.5" customHeight="1">
      <c r="A80" s="31" t="s">
        <v>55</v>
      </c>
      <c r="B80" s="12">
        <v>2.0</v>
      </c>
      <c r="C80" s="13" t="s">
        <v>27</v>
      </c>
      <c r="D80" s="13" t="s">
        <v>56</v>
      </c>
      <c r="E80" s="14" t="s">
        <v>24</v>
      </c>
      <c r="F80" s="15" t="s">
        <v>114</v>
      </c>
      <c r="G80" s="12">
        <v>2026.0</v>
      </c>
      <c r="H80" s="16">
        <v>3.03</v>
      </c>
      <c r="I80" s="26"/>
      <c r="J80" s="18">
        <f t="shared" si="19"/>
        <v>-3.03</v>
      </c>
      <c r="K80" s="19">
        <f t="shared" si="20"/>
        <v>-1</v>
      </c>
      <c r="L80" s="14" t="s">
        <v>105</v>
      </c>
      <c r="M80" s="14" t="str">
        <f t="shared" si="21"/>
        <v>Belum Diisi</v>
      </c>
      <c r="N80" s="14" t="str">
        <f t="shared" si="22"/>
        <v>Abu</v>
      </c>
      <c r="O80" s="29" t="s">
        <v>107</v>
      </c>
    </row>
    <row r="81" ht="19.5" customHeight="1">
      <c r="A81" s="30" t="s">
        <v>55</v>
      </c>
      <c r="B81" s="22">
        <v>2.0</v>
      </c>
      <c r="C81" s="23" t="s">
        <v>27</v>
      </c>
      <c r="D81" s="23" t="s">
        <v>56</v>
      </c>
      <c r="E81" s="24" t="s">
        <v>24</v>
      </c>
      <c r="F81" s="25" t="s">
        <v>114</v>
      </c>
      <c r="G81" s="22">
        <v>2027.0</v>
      </c>
      <c r="H81" s="16">
        <v>2.96</v>
      </c>
      <c r="I81" s="26"/>
      <c r="J81" s="27">
        <f t="shared" si="19"/>
        <v>-2.96</v>
      </c>
      <c r="K81" s="28">
        <f t="shared" si="20"/>
        <v>-1</v>
      </c>
      <c r="L81" s="24" t="s">
        <v>105</v>
      </c>
      <c r="M81" s="24" t="str">
        <f t="shared" si="21"/>
        <v>Belum Diisi</v>
      </c>
      <c r="N81" s="24" t="str">
        <f t="shared" si="22"/>
        <v>Abu</v>
      </c>
      <c r="O81" s="29" t="s">
        <v>107</v>
      </c>
    </row>
    <row r="82" ht="19.5" customHeight="1">
      <c r="A82" s="31" t="s">
        <v>55</v>
      </c>
      <c r="B82" s="12">
        <v>2.0</v>
      </c>
      <c r="C82" s="13" t="s">
        <v>27</v>
      </c>
      <c r="D82" s="13" t="s">
        <v>56</v>
      </c>
      <c r="E82" s="14" t="s">
        <v>24</v>
      </c>
      <c r="F82" s="15" t="s">
        <v>114</v>
      </c>
      <c r="G82" s="12">
        <v>2028.0</v>
      </c>
      <c r="H82" s="16">
        <v>2.89</v>
      </c>
      <c r="I82" s="26"/>
      <c r="J82" s="18">
        <f t="shared" si="19"/>
        <v>-2.89</v>
      </c>
      <c r="K82" s="19">
        <f t="shared" si="20"/>
        <v>-1</v>
      </c>
      <c r="L82" s="14" t="s">
        <v>105</v>
      </c>
      <c r="M82" s="14" t="str">
        <f t="shared" si="21"/>
        <v>Belum Diisi</v>
      </c>
      <c r="N82" s="14" t="str">
        <f t="shared" si="22"/>
        <v>Abu</v>
      </c>
      <c r="O82" s="29" t="s">
        <v>107</v>
      </c>
    </row>
    <row r="83" ht="19.5" customHeight="1">
      <c r="A83" s="30" t="s">
        <v>55</v>
      </c>
      <c r="B83" s="22">
        <v>2.0</v>
      </c>
      <c r="C83" s="23" t="s">
        <v>27</v>
      </c>
      <c r="D83" s="23" t="s">
        <v>56</v>
      </c>
      <c r="E83" s="24" t="s">
        <v>24</v>
      </c>
      <c r="F83" s="25" t="s">
        <v>114</v>
      </c>
      <c r="G83" s="22">
        <v>2029.0</v>
      </c>
      <c r="H83" s="16">
        <v>2.82</v>
      </c>
      <c r="I83" s="26"/>
      <c r="J83" s="27">
        <f t="shared" si="19"/>
        <v>-2.82</v>
      </c>
      <c r="K83" s="28">
        <f t="shared" si="20"/>
        <v>-1</v>
      </c>
      <c r="L83" s="24" t="s">
        <v>105</v>
      </c>
      <c r="M83" s="24" t="str">
        <f t="shared" si="21"/>
        <v>Belum Diisi</v>
      </c>
      <c r="N83" s="24" t="str">
        <f t="shared" si="22"/>
        <v>Abu</v>
      </c>
      <c r="O83" s="29" t="s">
        <v>107</v>
      </c>
    </row>
    <row r="84" ht="19.5" customHeight="1">
      <c r="A84" s="31" t="s">
        <v>58</v>
      </c>
      <c r="B84" s="12">
        <v>2.0</v>
      </c>
      <c r="C84" s="13" t="s">
        <v>27</v>
      </c>
      <c r="D84" s="13" t="s">
        <v>59</v>
      </c>
      <c r="E84" s="14" t="s">
        <v>24</v>
      </c>
      <c r="F84" s="15" t="s">
        <v>117</v>
      </c>
      <c r="G84" s="12">
        <v>2025.0</v>
      </c>
      <c r="H84" s="26"/>
      <c r="I84" s="26"/>
      <c r="J84" s="14"/>
      <c r="K84" s="14"/>
      <c r="L84" s="14" t="s">
        <v>108</v>
      </c>
      <c r="M84" s="14" t="s">
        <v>111</v>
      </c>
      <c r="N84" s="14" t="s">
        <v>112</v>
      </c>
      <c r="O84" s="29" t="s">
        <v>113</v>
      </c>
    </row>
    <row r="85" ht="19.5" customHeight="1">
      <c r="A85" s="30" t="s">
        <v>58</v>
      </c>
      <c r="B85" s="22">
        <v>2.0</v>
      </c>
      <c r="C85" s="23" t="s">
        <v>27</v>
      </c>
      <c r="D85" s="23" t="s">
        <v>59</v>
      </c>
      <c r="E85" s="24" t="s">
        <v>24</v>
      </c>
      <c r="F85" s="25" t="s">
        <v>117</v>
      </c>
      <c r="G85" s="22">
        <v>2026.0</v>
      </c>
      <c r="H85" s="26"/>
      <c r="I85" s="26"/>
      <c r="J85" s="14"/>
      <c r="K85" s="14"/>
      <c r="L85" s="24" t="s">
        <v>108</v>
      </c>
      <c r="M85" s="14" t="s">
        <v>111</v>
      </c>
      <c r="N85" s="14" t="s">
        <v>112</v>
      </c>
      <c r="O85" s="29" t="s">
        <v>113</v>
      </c>
    </row>
    <row r="86" ht="19.5" customHeight="1">
      <c r="A86" s="31" t="s">
        <v>58</v>
      </c>
      <c r="B86" s="12">
        <v>2.0</v>
      </c>
      <c r="C86" s="13" t="s">
        <v>27</v>
      </c>
      <c r="D86" s="13" t="s">
        <v>59</v>
      </c>
      <c r="E86" s="14" t="s">
        <v>24</v>
      </c>
      <c r="F86" s="15" t="s">
        <v>117</v>
      </c>
      <c r="G86" s="12">
        <v>2027.0</v>
      </c>
      <c r="H86" s="26"/>
      <c r="I86" s="26"/>
      <c r="J86" s="14"/>
      <c r="K86" s="14"/>
      <c r="L86" s="14" t="s">
        <v>108</v>
      </c>
      <c r="M86" s="14" t="s">
        <v>111</v>
      </c>
      <c r="N86" s="14" t="s">
        <v>112</v>
      </c>
      <c r="O86" s="29" t="s">
        <v>113</v>
      </c>
    </row>
    <row r="87" ht="19.5" customHeight="1">
      <c r="A87" s="30" t="s">
        <v>58</v>
      </c>
      <c r="B87" s="22">
        <v>2.0</v>
      </c>
      <c r="C87" s="23" t="s">
        <v>27</v>
      </c>
      <c r="D87" s="23" t="s">
        <v>59</v>
      </c>
      <c r="E87" s="24" t="s">
        <v>24</v>
      </c>
      <c r="F87" s="25" t="s">
        <v>117</v>
      </c>
      <c r="G87" s="22">
        <v>2028.0</v>
      </c>
      <c r="H87" s="26"/>
      <c r="I87" s="26"/>
      <c r="J87" s="14"/>
      <c r="K87" s="14"/>
      <c r="L87" s="24" t="s">
        <v>108</v>
      </c>
      <c r="M87" s="14" t="s">
        <v>111</v>
      </c>
      <c r="N87" s="14" t="s">
        <v>112</v>
      </c>
      <c r="O87" s="29" t="s">
        <v>113</v>
      </c>
    </row>
    <row r="88" ht="19.5" customHeight="1">
      <c r="A88" s="31" t="s">
        <v>58</v>
      </c>
      <c r="B88" s="12">
        <v>2.0</v>
      </c>
      <c r="C88" s="13" t="s">
        <v>27</v>
      </c>
      <c r="D88" s="13" t="s">
        <v>59</v>
      </c>
      <c r="E88" s="14" t="s">
        <v>24</v>
      </c>
      <c r="F88" s="15" t="s">
        <v>117</v>
      </c>
      <c r="G88" s="12">
        <v>2029.0</v>
      </c>
      <c r="H88" s="26"/>
      <c r="I88" s="26"/>
      <c r="J88" s="14"/>
      <c r="K88" s="14"/>
      <c r="L88" s="14" t="s">
        <v>108</v>
      </c>
      <c r="M88" s="14" t="s">
        <v>111</v>
      </c>
      <c r="N88" s="14" t="s">
        <v>112</v>
      </c>
      <c r="O88" s="29" t="s">
        <v>113</v>
      </c>
    </row>
    <row r="89" ht="19.5" customHeight="1">
      <c r="A89" s="33" t="s">
        <v>60</v>
      </c>
      <c r="B89" s="22">
        <v>3.0</v>
      </c>
      <c r="C89" s="23" t="s">
        <v>62</v>
      </c>
      <c r="D89" s="23" t="s">
        <v>61</v>
      </c>
      <c r="E89" s="24" t="s">
        <v>51</v>
      </c>
      <c r="F89" s="25" t="s">
        <v>104</v>
      </c>
      <c r="G89" s="22">
        <v>2025.0</v>
      </c>
      <c r="H89" s="16">
        <v>60.5</v>
      </c>
      <c r="I89" s="17">
        <v>60.3</v>
      </c>
      <c r="J89" s="27">
        <f t="shared" ref="J89:J153" si="23">IFERROR(I89-H89,"")</f>
        <v>-0.2</v>
      </c>
      <c r="K89" s="28">
        <f t="shared" ref="K89:K153" si="24">IFERROR(I89/H89-1,"")</f>
        <v>-0.003305785124</v>
      </c>
      <c r="L89" s="24" t="s">
        <v>108</v>
      </c>
      <c r="M89" s="24" t="str">
        <f t="shared" ref="M89:M128" si="25">IF(I89="","Belum Diisi",IF(I89&gt;=H89,"On Track",IF(I89&gt;=H89*0.9,"Warning","Alert")))</f>
        <v>Warning</v>
      </c>
      <c r="N89" s="24" t="str">
        <f t="shared" ref="N89:N128" si="26">IF(I89="","Abu",IF(I89&gt;=H89,"Hijau",IF(I89&gt;=H89*0.9,"Kuning","Merah")))</f>
        <v>Kuning</v>
      </c>
      <c r="O89" s="20" t="s">
        <v>106</v>
      </c>
    </row>
    <row r="90" ht="19.5" customHeight="1">
      <c r="A90" s="34" t="s">
        <v>60</v>
      </c>
      <c r="B90" s="12">
        <v>3.0</v>
      </c>
      <c r="C90" s="13" t="s">
        <v>62</v>
      </c>
      <c r="D90" s="13" t="s">
        <v>61</v>
      </c>
      <c r="E90" s="14" t="s">
        <v>51</v>
      </c>
      <c r="F90" s="15" t="s">
        <v>104</v>
      </c>
      <c r="G90" s="12">
        <v>2026.0</v>
      </c>
      <c r="H90" s="16">
        <v>61.0</v>
      </c>
      <c r="I90" s="26"/>
      <c r="J90" s="18">
        <f t="shared" si="23"/>
        <v>-61</v>
      </c>
      <c r="K90" s="19">
        <f t="shared" si="24"/>
        <v>-1</v>
      </c>
      <c r="L90" s="14" t="s">
        <v>108</v>
      </c>
      <c r="M90" s="14" t="str">
        <f t="shared" si="25"/>
        <v>Belum Diisi</v>
      </c>
      <c r="N90" s="14" t="str">
        <f t="shared" si="26"/>
        <v>Abu</v>
      </c>
      <c r="O90" s="29" t="s">
        <v>107</v>
      </c>
    </row>
    <row r="91" ht="19.5" customHeight="1">
      <c r="A91" s="33" t="s">
        <v>60</v>
      </c>
      <c r="B91" s="22">
        <v>3.0</v>
      </c>
      <c r="C91" s="23" t="s">
        <v>62</v>
      </c>
      <c r="D91" s="23" t="s">
        <v>61</v>
      </c>
      <c r="E91" s="24" t="s">
        <v>51</v>
      </c>
      <c r="F91" s="25" t="s">
        <v>104</v>
      </c>
      <c r="G91" s="22">
        <v>2027.0</v>
      </c>
      <c r="H91" s="16">
        <v>61.5</v>
      </c>
      <c r="I91" s="26"/>
      <c r="J91" s="27">
        <f t="shared" si="23"/>
        <v>-61.5</v>
      </c>
      <c r="K91" s="28">
        <f t="shared" si="24"/>
        <v>-1</v>
      </c>
      <c r="L91" s="24" t="s">
        <v>108</v>
      </c>
      <c r="M91" s="24" t="str">
        <f t="shared" si="25"/>
        <v>Belum Diisi</v>
      </c>
      <c r="N91" s="24" t="str">
        <f t="shared" si="26"/>
        <v>Abu</v>
      </c>
      <c r="O91" s="29" t="s">
        <v>107</v>
      </c>
    </row>
    <row r="92" ht="19.5" customHeight="1">
      <c r="A92" s="34" t="s">
        <v>60</v>
      </c>
      <c r="B92" s="12">
        <v>3.0</v>
      </c>
      <c r="C92" s="13" t="s">
        <v>62</v>
      </c>
      <c r="D92" s="13" t="s">
        <v>61</v>
      </c>
      <c r="E92" s="14" t="s">
        <v>51</v>
      </c>
      <c r="F92" s="15" t="s">
        <v>104</v>
      </c>
      <c r="G92" s="12">
        <v>2028.0</v>
      </c>
      <c r="H92" s="16">
        <v>62.0</v>
      </c>
      <c r="I92" s="26"/>
      <c r="J92" s="18">
        <f t="shared" si="23"/>
        <v>-62</v>
      </c>
      <c r="K92" s="19">
        <f t="shared" si="24"/>
        <v>-1</v>
      </c>
      <c r="L92" s="14" t="s">
        <v>108</v>
      </c>
      <c r="M92" s="14" t="str">
        <f t="shared" si="25"/>
        <v>Belum Diisi</v>
      </c>
      <c r="N92" s="14" t="str">
        <f t="shared" si="26"/>
        <v>Abu</v>
      </c>
      <c r="O92" s="29" t="s">
        <v>107</v>
      </c>
    </row>
    <row r="93" ht="19.5" customHeight="1">
      <c r="A93" s="33" t="s">
        <v>60</v>
      </c>
      <c r="B93" s="22">
        <v>3.0</v>
      </c>
      <c r="C93" s="23" t="s">
        <v>62</v>
      </c>
      <c r="D93" s="23" t="s">
        <v>61</v>
      </c>
      <c r="E93" s="24" t="s">
        <v>51</v>
      </c>
      <c r="F93" s="25" t="s">
        <v>104</v>
      </c>
      <c r="G93" s="22">
        <v>2029.0</v>
      </c>
      <c r="H93" s="16">
        <v>62.5</v>
      </c>
      <c r="I93" s="26"/>
      <c r="J93" s="27">
        <f t="shared" si="23"/>
        <v>-62.5</v>
      </c>
      <c r="K93" s="28">
        <f t="shared" si="24"/>
        <v>-1</v>
      </c>
      <c r="L93" s="24" t="s">
        <v>108</v>
      </c>
      <c r="M93" s="24" t="str">
        <f t="shared" si="25"/>
        <v>Belum Diisi</v>
      </c>
      <c r="N93" s="24" t="str">
        <f t="shared" si="26"/>
        <v>Abu</v>
      </c>
      <c r="O93" s="29" t="s">
        <v>107</v>
      </c>
    </row>
    <row r="94" ht="19.5" customHeight="1">
      <c r="A94" s="34" t="s">
        <v>63</v>
      </c>
      <c r="B94" s="12">
        <v>3.0</v>
      </c>
      <c r="C94" s="13" t="s">
        <v>62</v>
      </c>
      <c r="D94" s="13" t="s">
        <v>64</v>
      </c>
      <c r="E94" s="14" t="s">
        <v>51</v>
      </c>
      <c r="F94" s="15" t="s">
        <v>104</v>
      </c>
      <c r="G94" s="12">
        <v>2025.0</v>
      </c>
      <c r="H94" s="16">
        <v>63.9</v>
      </c>
      <c r="I94" s="26"/>
      <c r="J94" s="18">
        <f t="shared" si="23"/>
        <v>-63.9</v>
      </c>
      <c r="K94" s="19">
        <f t="shared" si="24"/>
        <v>-1</v>
      </c>
      <c r="L94" s="14" t="s">
        <v>108</v>
      </c>
      <c r="M94" s="14" t="str">
        <f t="shared" si="25"/>
        <v>Belum Diisi</v>
      </c>
      <c r="N94" s="14" t="str">
        <f t="shared" si="26"/>
        <v>Abu</v>
      </c>
      <c r="O94" s="29" t="s">
        <v>107</v>
      </c>
    </row>
    <row r="95" ht="19.5" customHeight="1">
      <c r="A95" s="33" t="s">
        <v>63</v>
      </c>
      <c r="B95" s="22">
        <v>3.0</v>
      </c>
      <c r="C95" s="23" t="s">
        <v>62</v>
      </c>
      <c r="D95" s="23" t="s">
        <v>64</v>
      </c>
      <c r="E95" s="24" t="s">
        <v>51</v>
      </c>
      <c r="F95" s="25" t="s">
        <v>104</v>
      </c>
      <c r="G95" s="22">
        <v>2026.0</v>
      </c>
      <c r="H95" s="16">
        <v>64.1</v>
      </c>
      <c r="I95" s="26"/>
      <c r="J95" s="27">
        <f t="shared" si="23"/>
        <v>-64.1</v>
      </c>
      <c r="K95" s="28">
        <f t="shared" si="24"/>
        <v>-1</v>
      </c>
      <c r="L95" s="24" t="s">
        <v>108</v>
      </c>
      <c r="M95" s="24" t="str">
        <f t="shared" si="25"/>
        <v>Belum Diisi</v>
      </c>
      <c r="N95" s="24" t="str">
        <f t="shared" si="26"/>
        <v>Abu</v>
      </c>
      <c r="O95" s="29" t="s">
        <v>107</v>
      </c>
    </row>
    <row r="96" ht="19.5" customHeight="1">
      <c r="A96" s="34" t="s">
        <v>63</v>
      </c>
      <c r="B96" s="12">
        <v>3.0</v>
      </c>
      <c r="C96" s="13" t="s">
        <v>62</v>
      </c>
      <c r="D96" s="13" t="s">
        <v>64</v>
      </c>
      <c r="E96" s="14" t="s">
        <v>51</v>
      </c>
      <c r="F96" s="15" t="s">
        <v>104</v>
      </c>
      <c r="G96" s="12">
        <v>2027.0</v>
      </c>
      <c r="H96" s="16">
        <v>65.1</v>
      </c>
      <c r="I96" s="26"/>
      <c r="J96" s="18">
        <f t="shared" si="23"/>
        <v>-65.1</v>
      </c>
      <c r="K96" s="19">
        <f t="shared" si="24"/>
        <v>-1</v>
      </c>
      <c r="L96" s="14" t="s">
        <v>108</v>
      </c>
      <c r="M96" s="14" t="str">
        <f t="shared" si="25"/>
        <v>Belum Diisi</v>
      </c>
      <c r="N96" s="14" t="str">
        <f t="shared" si="26"/>
        <v>Abu</v>
      </c>
      <c r="O96" s="29" t="s">
        <v>107</v>
      </c>
    </row>
    <row r="97" ht="19.5" customHeight="1">
      <c r="A97" s="33" t="s">
        <v>63</v>
      </c>
      <c r="B97" s="22">
        <v>3.0</v>
      </c>
      <c r="C97" s="23" t="s">
        <v>62</v>
      </c>
      <c r="D97" s="23" t="s">
        <v>64</v>
      </c>
      <c r="E97" s="24" t="s">
        <v>51</v>
      </c>
      <c r="F97" s="25" t="s">
        <v>104</v>
      </c>
      <c r="G97" s="22">
        <v>2028.0</v>
      </c>
      <c r="H97" s="16">
        <v>66.1</v>
      </c>
      <c r="I97" s="26"/>
      <c r="J97" s="27">
        <f t="shared" si="23"/>
        <v>-66.1</v>
      </c>
      <c r="K97" s="28">
        <f t="shared" si="24"/>
        <v>-1</v>
      </c>
      <c r="L97" s="24" t="s">
        <v>108</v>
      </c>
      <c r="M97" s="24" t="str">
        <f t="shared" si="25"/>
        <v>Belum Diisi</v>
      </c>
      <c r="N97" s="24" t="str">
        <f t="shared" si="26"/>
        <v>Abu</v>
      </c>
      <c r="O97" s="29" t="s">
        <v>107</v>
      </c>
    </row>
    <row r="98" ht="19.5" customHeight="1">
      <c r="A98" s="34" t="s">
        <v>63</v>
      </c>
      <c r="B98" s="12">
        <v>3.0</v>
      </c>
      <c r="C98" s="13" t="s">
        <v>62</v>
      </c>
      <c r="D98" s="13" t="s">
        <v>64</v>
      </c>
      <c r="E98" s="14" t="s">
        <v>51</v>
      </c>
      <c r="F98" s="15" t="s">
        <v>104</v>
      </c>
      <c r="G98" s="12">
        <v>2029.0</v>
      </c>
      <c r="H98" s="16">
        <v>68.1</v>
      </c>
      <c r="I98" s="26"/>
      <c r="J98" s="18">
        <f t="shared" si="23"/>
        <v>-68.1</v>
      </c>
      <c r="K98" s="19">
        <f t="shared" si="24"/>
        <v>-1</v>
      </c>
      <c r="L98" s="14" t="s">
        <v>108</v>
      </c>
      <c r="M98" s="14" t="str">
        <f t="shared" si="25"/>
        <v>Belum Diisi</v>
      </c>
      <c r="N98" s="14" t="str">
        <f t="shared" si="26"/>
        <v>Abu</v>
      </c>
      <c r="O98" s="29" t="s">
        <v>107</v>
      </c>
    </row>
    <row r="99" ht="19.5" customHeight="1">
      <c r="A99" s="33" t="s">
        <v>65</v>
      </c>
      <c r="B99" s="22">
        <v>3.0</v>
      </c>
      <c r="C99" s="23" t="s">
        <v>62</v>
      </c>
      <c r="D99" s="23" t="s">
        <v>66</v>
      </c>
      <c r="E99" s="24" t="s">
        <v>24</v>
      </c>
      <c r="F99" s="25" t="s">
        <v>118</v>
      </c>
      <c r="G99" s="22">
        <v>2025.0</v>
      </c>
      <c r="H99" s="16">
        <v>17.35</v>
      </c>
      <c r="I99" s="26"/>
      <c r="J99" s="27">
        <f t="shared" si="23"/>
        <v>-17.35</v>
      </c>
      <c r="K99" s="28">
        <f t="shared" si="24"/>
        <v>-1</v>
      </c>
      <c r="L99" s="24" t="s">
        <v>108</v>
      </c>
      <c r="M99" s="24" t="str">
        <f t="shared" si="25"/>
        <v>Belum Diisi</v>
      </c>
      <c r="N99" s="24" t="str">
        <f t="shared" si="26"/>
        <v>Abu</v>
      </c>
      <c r="O99" s="29" t="s">
        <v>107</v>
      </c>
    </row>
    <row r="100" ht="19.5" customHeight="1">
      <c r="A100" s="34" t="s">
        <v>65</v>
      </c>
      <c r="B100" s="12">
        <v>3.0</v>
      </c>
      <c r="C100" s="13" t="s">
        <v>62</v>
      </c>
      <c r="D100" s="13" t="s">
        <v>66</v>
      </c>
      <c r="E100" s="14" t="s">
        <v>24</v>
      </c>
      <c r="F100" s="15" t="s">
        <v>118</v>
      </c>
      <c r="G100" s="12">
        <v>2026.0</v>
      </c>
      <c r="H100" s="16">
        <v>18.21</v>
      </c>
      <c r="I100" s="26"/>
      <c r="J100" s="18">
        <f t="shared" si="23"/>
        <v>-18.21</v>
      </c>
      <c r="K100" s="19">
        <f t="shared" si="24"/>
        <v>-1</v>
      </c>
      <c r="L100" s="14" t="s">
        <v>108</v>
      </c>
      <c r="M100" s="14" t="str">
        <f t="shared" si="25"/>
        <v>Belum Diisi</v>
      </c>
      <c r="N100" s="14" t="str">
        <f t="shared" si="26"/>
        <v>Abu</v>
      </c>
      <c r="O100" s="29" t="s">
        <v>107</v>
      </c>
    </row>
    <row r="101" ht="19.5" customHeight="1">
      <c r="A101" s="33" t="s">
        <v>65</v>
      </c>
      <c r="B101" s="22">
        <v>3.0</v>
      </c>
      <c r="C101" s="23" t="s">
        <v>62</v>
      </c>
      <c r="D101" s="23" t="s">
        <v>66</v>
      </c>
      <c r="E101" s="24" t="s">
        <v>24</v>
      </c>
      <c r="F101" s="25" t="s">
        <v>118</v>
      </c>
      <c r="G101" s="22">
        <v>2027.0</v>
      </c>
      <c r="H101" s="16">
        <v>19.03</v>
      </c>
      <c r="I101" s="26"/>
      <c r="J101" s="27">
        <f t="shared" si="23"/>
        <v>-19.03</v>
      </c>
      <c r="K101" s="28">
        <f t="shared" si="24"/>
        <v>-1</v>
      </c>
      <c r="L101" s="24" t="s">
        <v>108</v>
      </c>
      <c r="M101" s="24" t="str">
        <f t="shared" si="25"/>
        <v>Belum Diisi</v>
      </c>
      <c r="N101" s="24" t="str">
        <f t="shared" si="26"/>
        <v>Abu</v>
      </c>
      <c r="O101" s="29" t="s">
        <v>107</v>
      </c>
    </row>
    <row r="102" ht="19.5" customHeight="1">
      <c r="A102" s="34" t="s">
        <v>65</v>
      </c>
      <c r="B102" s="12">
        <v>3.0</v>
      </c>
      <c r="C102" s="13" t="s">
        <v>62</v>
      </c>
      <c r="D102" s="13" t="s">
        <v>66</v>
      </c>
      <c r="E102" s="14" t="s">
        <v>24</v>
      </c>
      <c r="F102" s="15" t="s">
        <v>118</v>
      </c>
      <c r="G102" s="12">
        <v>2028.0</v>
      </c>
      <c r="H102" s="16">
        <v>19.81</v>
      </c>
      <c r="I102" s="26"/>
      <c r="J102" s="18">
        <f t="shared" si="23"/>
        <v>-19.81</v>
      </c>
      <c r="K102" s="19">
        <f t="shared" si="24"/>
        <v>-1</v>
      </c>
      <c r="L102" s="14" t="s">
        <v>108</v>
      </c>
      <c r="M102" s="14" t="str">
        <f t="shared" si="25"/>
        <v>Belum Diisi</v>
      </c>
      <c r="N102" s="14" t="str">
        <f t="shared" si="26"/>
        <v>Abu</v>
      </c>
      <c r="O102" s="29" t="s">
        <v>107</v>
      </c>
    </row>
    <row r="103" ht="19.5" customHeight="1">
      <c r="A103" s="33" t="s">
        <v>65</v>
      </c>
      <c r="B103" s="22">
        <v>3.0</v>
      </c>
      <c r="C103" s="23" t="s">
        <v>62</v>
      </c>
      <c r="D103" s="23" t="s">
        <v>66</v>
      </c>
      <c r="E103" s="24" t="s">
        <v>24</v>
      </c>
      <c r="F103" s="25" t="s">
        <v>118</v>
      </c>
      <c r="G103" s="22">
        <v>2029.0</v>
      </c>
      <c r="H103" s="16">
        <v>20.49</v>
      </c>
      <c r="I103" s="26"/>
      <c r="J103" s="27">
        <f t="shared" si="23"/>
        <v>-20.49</v>
      </c>
      <c r="K103" s="28">
        <f t="shared" si="24"/>
        <v>-1</v>
      </c>
      <c r="L103" s="24" t="s">
        <v>108</v>
      </c>
      <c r="M103" s="24" t="str">
        <f t="shared" si="25"/>
        <v>Belum Diisi</v>
      </c>
      <c r="N103" s="24" t="str">
        <f t="shared" si="26"/>
        <v>Abu</v>
      </c>
      <c r="O103" s="29" t="s">
        <v>107</v>
      </c>
    </row>
    <row r="104" ht="19.5" customHeight="1">
      <c r="A104" s="34" t="s">
        <v>67</v>
      </c>
      <c r="B104" s="12">
        <v>3.0</v>
      </c>
      <c r="C104" s="13" t="s">
        <v>62</v>
      </c>
      <c r="D104" s="13" t="s">
        <v>68</v>
      </c>
      <c r="E104" s="14" t="s">
        <v>24</v>
      </c>
      <c r="F104" s="15" t="s">
        <v>119</v>
      </c>
      <c r="G104" s="12">
        <v>2025.0</v>
      </c>
      <c r="H104" s="16">
        <v>6.82</v>
      </c>
      <c r="I104" s="26"/>
      <c r="J104" s="18">
        <f t="shared" si="23"/>
        <v>-6.82</v>
      </c>
      <c r="K104" s="19">
        <f t="shared" si="24"/>
        <v>-1</v>
      </c>
      <c r="L104" s="14" t="s">
        <v>108</v>
      </c>
      <c r="M104" s="14" t="str">
        <f t="shared" si="25"/>
        <v>Belum Diisi</v>
      </c>
      <c r="N104" s="14" t="str">
        <f t="shared" si="26"/>
        <v>Abu</v>
      </c>
      <c r="O104" s="29" t="s">
        <v>107</v>
      </c>
    </row>
    <row r="105" ht="19.5" customHeight="1">
      <c r="A105" s="33" t="s">
        <v>67</v>
      </c>
      <c r="B105" s="22">
        <v>3.0</v>
      </c>
      <c r="C105" s="23" t="s">
        <v>62</v>
      </c>
      <c r="D105" s="23" t="s">
        <v>68</v>
      </c>
      <c r="E105" s="24" t="s">
        <v>24</v>
      </c>
      <c r="F105" s="25" t="s">
        <v>119</v>
      </c>
      <c r="G105" s="22">
        <v>2026.0</v>
      </c>
      <c r="H105" s="16">
        <v>7.13</v>
      </c>
      <c r="I105" s="26"/>
      <c r="J105" s="27">
        <f t="shared" si="23"/>
        <v>-7.13</v>
      </c>
      <c r="K105" s="28">
        <f t="shared" si="24"/>
        <v>-1</v>
      </c>
      <c r="L105" s="24" t="s">
        <v>108</v>
      </c>
      <c r="M105" s="24" t="str">
        <f t="shared" si="25"/>
        <v>Belum Diisi</v>
      </c>
      <c r="N105" s="24" t="str">
        <f t="shared" si="26"/>
        <v>Abu</v>
      </c>
      <c r="O105" s="29" t="s">
        <v>107</v>
      </c>
    </row>
    <row r="106" ht="19.5" customHeight="1">
      <c r="A106" s="34" t="s">
        <v>67</v>
      </c>
      <c r="B106" s="12">
        <v>3.0</v>
      </c>
      <c r="C106" s="13" t="s">
        <v>62</v>
      </c>
      <c r="D106" s="13" t="s">
        <v>68</v>
      </c>
      <c r="E106" s="14" t="s">
        <v>24</v>
      </c>
      <c r="F106" s="15" t="s">
        <v>119</v>
      </c>
      <c r="G106" s="12">
        <v>2027.0</v>
      </c>
      <c r="H106" s="16">
        <v>8.02</v>
      </c>
      <c r="I106" s="26"/>
      <c r="J106" s="18">
        <f t="shared" si="23"/>
        <v>-8.02</v>
      </c>
      <c r="K106" s="19">
        <f t="shared" si="24"/>
        <v>-1</v>
      </c>
      <c r="L106" s="14" t="s">
        <v>108</v>
      </c>
      <c r="M106" s="14" t="str">
        <f t="shared" si="25"/>
        <v>Belum Diisi</v>
      </c>
      <c r="N106" s="14" t="str">
        <f t="shared" si="26"/>
        <v>Abu</v>
      </c>
      <c r="O106" s="29" t="s">
        <v>107</v>
      </c>
    </row>
    <row r="107" ht="19.5" customHeight="1">
      <c r="A107" s="33" t="s">
        <v>67</v>
      </c>
      <c r="B107" s="22">
        <v>3.0</v>
      </c>
      <c r="C107" s="23" t="s">
        <v>62</v>
      </c>
      <c r="D107" s="23" t="s">
        <v>68</v>
      </c>
      <c r="E107" s="24" t="s">
        <v>24</v>
      </c>
      <c r="F107" s="25" t="s">
        <v>119</v>
      </c>
      <c r="G107" s="22">
        <v>2028.0</v>
      </c>
      <c r="H107" s="16">
        <v>9.31</v>
      </c>
      <c r="I107" s="26"/>
      <c r="J107" s="27">
        <f t="shared" si="23"/>
        <v>-9.31</v>
      </c>
      <c r="K107" s="28">
        <f t="shared" si="24"/>
        <v>-1</v>
      </c>
      <c r="L107" s="24" t="s">
        <v>108</v>
      </c>
      <c r="M107" s="24" t="str">
        <f t="shared" si="25"/>
        <v>Belum Diisi</v>
      </c>
      <c r="N107" s="24" t="str">
        <f t="shared" si="26"/>
        <v>Abu</v>
      </c>
      <c r="O107" s="29" t="s">
        <v>107</v>
      </c>
    </row>
    <row r="108" ht="19.5" customHeight="1">
      <c r="A108" s="34" t="s">
        <v>67</v>
      </c>
      <c r="B108" s="12">
        <v>3.0</v>
      </c>
      <c r="C108" s="13" t="s">
        <v>62</v>
      </c>
      <c r="D108" s="13" t="s">
        <v>68</v>
      </c>
      <c r="E108" s="14" t="s">
        <v>24</v>
      </c>
      <c r="F108" s="15" t="s">
        <v>119</v>
      </c>
      <c r="G108" s="12">
        <v>2029.0</v>
      </c>
      <c r="H108" s="16">
        <v>10.51</v>
      </c>
      <c r="I108" s="26"/>
      <c r="J108" s="18">
        <f t="shared" si="23"/>
        <v>-10.51</v>
      </c>
      <c r="K108" s="19">
        <f t="shared" si="24"/>
        <v>-1</v>
      </c>
      <c r="L108" s="14" t="s">
        <v>108</v>
      </c>
      <c r="M108" s="14" t="str">
        <f t="shared" si="25"/>
        <v>Belum Diisi</v>
      </c>
      <c r="N108" s="14" t="str">
        <f t="shared" si="26"/>
        <v>Abu</v>
      </c>
      <c r="O108" s="29" t="s">
        <v>107</v>
      </c>
    </row>
    <row r="109" ht="19.5" customHeight="1">
      <c r="A109" s="33" t="s">
        <v>69</v>
      </c>
      <c r="B109" s="22">
        <v>3.0</v>
      </c>
      <c r="C109" s="23" t="s">
        <v>62</v>
      </c>
      <c r="D109" s="23" t="s">
        <v>70</v>
      </c>
      <c r="E109" s="24" t="s">
        <v>51</v>
      </c>
      <c r="F109" s="25" t="s">
        <v>104</v>
      </c>
      <c r="G109" s="22">
        <v>2025.0</v>
      </c>
      <c r="H109" s="16">
        <v>57.6</v>
      </c>
      <c r="I109" s="17">
        <v>70.2</v>
      </c>
      <c r="J109" s="27">
        <f t="shared" si="23"/>
        <v>12.6</v>
      </c>
      <c r="K109" s="28">
        <f t="shared" si="24"/>
        <v>0.21875</v>
      </c>
      <c r="L109" s="24" t="s">
        <v>108</v>
      </c>
      <c r="M109" s="24" t="str">
        <f t="shared" si="25"/>
        <v>On Track</v>
      </c>
      <c r="N109" s="24" t="str">
        <f t="shared" si="26"/>
        <v>Hijau</v>
      </c>
      <c r="O109" s="20" t="s">
        <v>106</v>
      </c>
    </row>
    <row r="110" ht="19.5" customHeight="1">
      <c r="A110" s="34" t="s">
        <v>69</v>
      </c>
      <c r="B110" s="12">
        <v>3.0</v>
      </c>
      <c r="C110" s="13" t="s">
        <v>62</v>
      </c>
      <c r="D110" s="13" t="s">
        <v>70</v>
      </c>
      <c r="E110" s="14" t="s">
        <v>51</v>
      </c>
      <c r="F110" s="15" t="s">
        <v>104</v>
      </c>
      <c r="G110" s="12">
        <v>2026.0</v>
      </c>
      <c r="H110" s="16">
        <v>57.6</v>
      </c>
      <c r="I110" s="26"/>
      <c r="J110" s="18">
        <f t="shared" si="23"/>
        <v>-57.6</v>
      </c>
      <c r="K110" s="19">
        <f t="shared" si="24"/>
        <v>-1</v>
      </c>
      <c r="L110" s="14" t="s">
        <v>108</v>
      </c>
      <c r="M110" s="14" t="str">
        <f t="shared" si="25"/>
        <v>Belum Diisi</v>
      </c>
      <c r="N110" s="14" t="str">
        <f t="shared" si="26"/>
        <v>Abu</v>
      </c>
      <c r="O110" s="29" t="s">
        <v>107</v>
      </c>
    </row>
    <row r="111" ht="19.5" customHeight="1">
      <c r="A111" s="33" t="s">
        <v>69</v>
      </c>
      <c r="B111" s="22">
        <v>3.0</v>
      </c>
      <c r="C111" s="23" t="s">
        <v>62</v>
      </c>
      <c r="D111" s="23" t="s">
        <v>70</v>
      </c>
      <c r="E111" s="24" t="s">
        <v>51</v>
      </c>
      <c r="F111" s="25" t="s">
        <v>104</v>
      </c>
      <c r="G111" s="22">
        <v>2027.0</v>
      </c>
      <c r="H111" s="16">
        <v>57.6</v>
      </c>
      <c r="I111" s="26"/>
      <c r="J111" s="27">
        <f t="shared" si="23"/>
        <v>-57.6</v>
      </c>
      <c r="K111" s="28">
        <f t="shared" si="24"/>
        <v>-1</v>
      </c>
      <c r="L111" s="24" t="s">
        <v>108</v>
      </c>
      <c r="M111" s="24" t="str">
        <f t="shared" si="25"/>
        <v>Belum Diisi</v>
      </c>
      <c r="N111" s="24" t="str">
        <f t="shared" si="26"/>
        <v>Abu</v>
      </c>
      <c r="O111" s="29" t="s">
        <v>107</v>
      </c>
    </row>
    <row r="112" ht="19.5" customHeight="1">
      <c r="A112" s="34" t="s">
        <v>69</v>
      </c>
      <c r="B112" s="12">
        <v>3.0</v>
      </c>
      <c r="C112" s="13" t="s">
        <v>62</v>
      </c>
      <c r="D112" s="13" t="s">
        <v>70</v>
      </c>
      <c r="E112" s="14" t="s">
        <v>51</v>
      </c>
      <c r="F112" s="15" t="s">
        <v>104</v>
      </c>
      <c r="G112" s="12">
        <v>2028.0</v>
      </c>
      <c r="H112" s="16">
        <v>57.6</v>
      </c>
      <c r="I112" s="26"/>
      <c r="J112" s="18">
        <f t="shared" si="23"/>
        <v>-57.6</v>
      </c>
      <c r="K112" s="19">
        <f t="shared" si="24"/>
        <v>-1</v>
      </c>
      <c r="L112" s="14" t="s">
        <v>108</v>
      </c>
      <c r="M112" s="14" t="str">
        <f t="shared" si="25"/>
        <v>Belum Diisi</v>
      </c>
      <c r="N112" s="14" t="str">
        <f t="shared" si="26"/>
        <v>Abu</v>
      </c>
      <c r="O112" s="29" t="s">
        <v>107</v>
      </c>
    </row>
    <row r="113" ht="19.5" customHeight="1">
      <c r="A113" s="33" t="s">
        <v>69</v>
      </c>
      <c r="B113" s="22">
        <v>3.0</v>
      </c>
      <c r="C113" s="23" t="s">
        <v>62</v>
      </c>
      <c r="D113" s="23" t="s">
        <v>70</v>
      </c>
      <c r="E113" s="24" t="s">
        <v>51</v>
      </c>
      <c r="F113" s="25" t="s">
        <v>104</v>
      </c>
      <c r="G113" s="22">
        <v>2029.0</v>
      </c>
      <c r="H113" s="16">
        <v>57.6</v>
      </c>
      <c r="I113" s="26"/>
      <c r="J113" s="27">
        <f t="shared" si="23"/>
        <v>-57.6</v>
      </c>
      <c r="K113" s="28">
        <f t="shared" si="24"/>
        <v>-1</v>
      </c>
      <c r="L113" s="24" t="s">
        <v>108</v>
      </c>
      <c r="M113" s="24" t="str">
        <f t="shared" si="25"/>
        <v>Belum Diisi</v>
      </c>
      <c r="N113" s="24" t="str">
        <f t="shared" si="26"/>
        <v>Abu</v>
      </c>
      <c r="O113" s="29" t="s">
        <v>107</v>
      </c>
    </row>
    <row r="114" ht="19.5" customHeight="1">
      <c r="A114" s="34" t="s">
        <v>71</v>
      </c>
      <c r="B114" s="12">
        <v>3.0</v>
      </c>
      <c r="C114" s="13" t="s">
        <v>62</v>
      </c>
      <c r="D114" s="13" t="s">
        <v>72</v>
      </c>
      <c r="E114" s="14" t="s">
        <v>51</v>
      </c>
      <c r="F114" s="15" t="s">
        <v>104</v>
      </c>
      <c r="G114" s="12">
        <v>2025.0</v>
      </c>
      <c r="H114" s="16">
        <v>79.9</v>
      </c>
      <c r="I114" s="17">
        <v>80.3</v>
      </c>
      <c r="J114" s="18">
        <f t="shared" si="23"/>
        <v>0.4</v>
      </c>
      <c r="K114" s="19">
        <f t="shared" si="24"/>
        <v>0.005006257822</v>
      </c>
      <c r="L114" s="14" t="s">
        <v>108</v>
      </c>
      <c r="M114" s="14" t="str">
        <f t="shared" si="25"/>
        <v>On Track</v>
      </c>
      <c r="N114" s="14" t="str">
        <f t="shared" si="26"/>
        <v>Hijau</v>
      </c>
      <c r="O114" s="20" t="s">
        <v>106</v>
      </c>
    </row>
    <row r="115" ht="19.5" customHeight="1">
      <c r="A115" s="33" t="s">
        <v>71</v>
      </c>
      <c r="B115" s="22">
        <v>3.0</v>
      </c>
      <c r="C115" s="23" t="s">
        <v>62</v>
      </c>
      <c r="D115" s="23" t="s">
        <v>72</v>
      </c>
      <c r="E115" s="24" t="s">
        <v>51</v>
      </c>
      <c r="F115" s="25" t="s">
        <v>104</v>
      </c>
      <c r="G115" s="22">
        <v>2026.0</v>
      </c>
      <c r="H115" s="16">
        <v>79.9</v>
      </c>
      <c r="I115" s="26"/>
      <c r="J115" s="27">
        <f t="shared" si="23"/>
        <v>-79.9</v>
      </c>
      <c r="K115" s="28">
        <f t="shared" si="24"/>
        <v>-1</v>
      </c>
      <c r="L115" s="24" t="s">
        <v>108</v>
      </c>
      <c r="M115" s="24" t="str">
        <f t="shared" si="25"/>
        <v>Belum Diisi</v>
      </c>
      <c r="N115" s="24" t="str">
        <f t="shared" si="26"/>
        <v>Abu</v>
      </c>
      <c r="O115" s="29" t="s">
        <v>107</v>
      </c>
    </row>
    <row r="116" ht="19.5" customHeight="1">
      <c r="A116" s="34" t="s">
        <v>71</v>
      </c>
      <c r="B116" s="12">
        <v>3.0</v>
      </c>
      <c r="C116" s="13" t="s">
        <v>62</v>
      </c>
      <c r="D116" s="13" t="s">
        <v>72</v>
      </c>
      <c r="E116" s="14" t="s">
        <v>51</v>
      </c>
      <c r="F116" s="15" t="s">
        <v>104</v>
      </c>
      <c r="G116" s="12">
        <v>2027.0</v>
      </c>
      <c r="H116" s="16">
        <v>79.9</v>
      </c>
      <c r="I116" s="26"/>
      <c r="J116" s="18">
        <f t="shared" si="23"/>
        <v>-79.9</v>
      </c>
      <c r="K116" s="19">
        <f t="shared" si="24"/>
        <v>-1</v>
      </c>
      <c r="L116" s="14" t="s">
        <v>108</v>
      </c>
      <c r="M116" s="14" t="str">
        <f t="shared" si="25"/>
        <v>Belum Diisi</v>
      </c>
      <c r="N116" s="14" t="str">
        <f t="shared" si="26"/>
        <v>Abu</v>
      </c>
      <c r="O116" s="29" t="s">
        <v>107</v>
      </c>
    </row>
    <row r="117" ht="19.5" customHeight="1">
      <c r="A117" s="33" t="s">
        <v>71</v>
      </c>
      <c r="B117" s="22">
        <v>3.0</v>
      </c>
      <c r="C117" s="23" t="s">
        <v>62</v>
      </c>
      <c r="D117" s="23" t="s">
        <v>72</v>
      </c>
      <c r="E117" s="24" t="s">
        <v>51</v>
      </c>
      <c r="F117" s="25" t="s">
        <v>104</v>
      </c>
      <c r="G117" s="22">
        <v>2028.0</v>
      </c>
      <c r="H117" s="16">
        <v>79.9</v>
      </c>
      <c r="I117" s="26"/>
      <c r="J117" s="27">
        <f t="shared" si="23"/>
        <v>-79.9</v>
      </c>
      <c r="K117" s="28">
        <f t="shared" si="24"/>
        <v>-1</v>
      </c>
      <c r="L117" s="24" t="s">
        <v>108</v>
      </c>
      <c r="M117" s="24" t="str">
        <f t="shared" si="25"/>
        <v>Belum Diisi</v>
      </c>
      <c r="N117" s="24" t="str">
        <f t="shared" si="26"/>
        <v>Abu</v>
      </c>
      <c r="O117" s="29" t="s">
        <v>107</v>
      </c>
    </row>
    <row r="118" ht="19.5" customHeight="1">
      <c r="A118" s="34" t="s">
        <v>71</v>
      </c>
      <c r="B118" s="12">
        <v>3.0</v>
      </c>
      <c r="C118" s="13" t="s">
        <v>62</v>
      </c>
      <c r="D118" s="13" t="s">
        <v>72</v>
      </c>
      <c r="E118" s="14" t="s">
        <v>51</v>
      </c>
      <c r="F118" s="15" t="s">
        <v>104</v>
      </c>
      <c r="G118" s="12">
        <v>2029.0</v>
      </c>
      <c r="H118" s="16">
        <v>79.9</v>
      </c>
      <c r="I118" s="26"/>
      <c r="J118" s="18">
        <f t="shared" si="23"/>
        <v>-79.9</v>
      </c>
      <c r="K118" s="19">
        <f t="shared" si="24"/>
        <v>-1</v>
      </c>
      <c r="L118" s="14" t="s">
        <v>108</v>
      </c>
      <c r="M118" s="14" t="str">
        <f t="shared" si="25"/>
        <v>Belum Diisi</v>
      </c>
      <c r="N118" s="14" t="str">
        <f t="shared" si="26"/>
        <v>Abu</v>
      </c>
      <c r="O118" s="29" t="s">
        <v>107</v>
      </c>
    </row>
    <row r="119" ht="19.5" customHeight="1">
      <c r="A119" s="33" t="s">
        <v>73</v>
      </c>
      <c r="B119" s="22">
        <v>3.0</v>
      </c>
      <c r="C119" s="23" t="s">
        <v>62</v>
      </c>
      <c r="D119" s="23" t="s">
        <v>74</v>
      </c>
      <c r="E119" s="24" t="s">
        <v>24</v>
      </c>
      <c r="F119" s="25" t="s">
        <v>115</v>
      </c>
      <c r="G119" s="22">
        <v>2025.0</v>
      </c>
      <c r="H119" s="16">
        <v>87.36</v>
      </c>
      <c r="I119" s="26"/>
      <c r="J119" s="27">
        <f t="shared" si="23"/>
        <v>-87.36</v>
      </c>
      <c r="K119" s="28">
        <f t="shared" si="24"/>
        <v>-1</v>
      </c>
      <c r="L119" s="24" t="s">
        <v>108</v>
      </c>
      <c r="M119" s="24" t="str">
        <f t="shared" si="25"/>
        <v>Belum Diisi</v>
      </c>
      <c r="N119" s="24" t="str">
        <f t="shared" si="26"/>
        <v>Abu</v>
      </c>
      <c r="O119" s="29" t="s">
        <v>107</v>
      </c>
    </row>
    <row r="120" ht="19.5" customHeight="1">
      <c r="A120" s="34" t="s">
        <v>73</v>
      </c>
      <c r="B120" s="12">
        <v>3.0</v>
      </c>
      <c r="C120" s="13" t="s">
        <v>62</v>
      </c>
      <c r="D120" s="13" t="s">
        <v>74</v>
      </c>
      <c r="E120" s="14" t="s">
        <v>24</v>
      </c>
      <c r="F120" s="15" t="s">
        <v>115</v>
      </c>
      <c r="G120" s="12">
        <v>2026.0</v>
      </c>
      <c r="H120" s="16">
        <v>89.27</v>
      </c>
      <c r="I120" s="26"/>
      <c r="J120" s="18">
        <f t="shared" si="23"/>
        <v>-89.27</v>
      </c>
      <c r="K120" s="19">
        <f t="shared" si="24"/>
        <v>-1</v>
      </c>
      <c r="L120" s="14" t="s">
        <v>108</v>
      </c>
      <c r="M120" s="14" t="str">
        <f t="shared" si="25"/>
        <v>Belum Diisi</v>
      </c>
      <c r="N120" s="14" t="str">
        <f t="shared" si="26"/>
        <v>Abu</v>
      </c>
      <c r="O120" s="29" t="s">
        <v>107</v>
      </c>
    </row>
    <row r="121" ht="19.5" customHeight="1">
      <c r="A121" s="33" t="s">
        <v>73</v>
      </c>
      <c r="B121" s="22">
        <v>3.0</v>
      </c>
      <c r="C121" s="23" t="s">
        <v>62</v>
      </c>
      <c r="D121" s="23" t="s">
        <v>74</v>
      </c>
      <c r="E121" s="24" t="s">
        <v>24</v>
      </c>
      <c r="F121" s="25" t="s">
        <v>115</v>
      </c>
      <c r="G121" s="22">
        <v>2027.0</v>
      </c>
      <c r="H121" s="16">
        <v>91.18</v>
      </c>
      <c r="I121" s="26"/>
      <c r="J121" s="27">
        <f t="shared" si="23"/>
        <v>-91.18</v>
      </c>
      <c r="K121" s="28">
        <f t="shared" si="24"/>
        <v>-1</v>
      </c>
      <c r="L121" s="24" t="s">
        <v>108</v>
      </c>
      <c r="M121" s="24" t="str">
        <f t="shared" si="25"/>
        <v>Belum Diisi</v>
      </c>
      <c r="N121" s="24" t="str">
        <f t="shared" si="26"/>
        <v>Abu</v>
      </c>
      <c r="O121" s="29" t="s">
        <v>107</v>
      </c>
    </row>
    <row r="122" ht="19.5" customHeight="1">
      <c r="A122" s="34" t="s">
        <v>73</v>
      </c>
      <c r="B122" s="12">
        <v>3.0</v>
      </c>
      <c r="C122" s="13" t="s">
        <v>62</v>
      </c>
      <c r="D122" s="13" t="s">
        <v>74</v>
      </c>
      <c r="E122" s="14" t="s">
        <v>24</v>
      </c>
      <c r="F122" s="15" t="s">
        <v>115</v>
      </c>
      <c r="G122" s="12">
        <v>2028.0</v>
      </c>
      <c r="H122" s="16">
        <v>93.09</v>
      </c>
      <c r="I122" s="26"/>
      <c r="J122" s="18">
        <f t="shared" si="23"/>
        <v>-93.09</v>
      </c>
      <c r="K122" s="19">
        <f t="shared" si="24"/>
        <v>-1</v>
      </c>
      <c r="L122" s="14" t="s">
        <v>108</v>
      </c>
      <c r="M122" s="14" t="str">
        <f t="shared" si="25"/>
        <v>Belum Diisi</v>
      </c>
      <c r="N122" s="14" t="str">
        <f t="shared" si="26"/>
        <v>Abu</v>
      </c>
      <c r="O122" s="29" t="s">
        <v>107</v>
      </c>
    </row>
    <row r="123" ht="19.5" customHeight="1">
      <c r="A123" s="33" t="s">
        <v>73</v>
      </c>
      <c r="B123" s="22">
        <v>3.0</v>
      </c>
      <c r="C123" s="23" t="s">
        <v>62</v>
      </c>
      <c r="D123" s="23" t="s">
        <v>74</v>
      </c>
      <c r="E123" s="24" t="s">
        <v>24</v>
      </c>
      <c r="F123" s="25" t="s">
        <v>115</v>
      </c>
      <c r="G123" s="22">
        <v>2029.0</v>
      </c>
      <c r="H123" s="16">
        <v>95.0</v>
      </c>
      <c r="I123" s="26"/>
      <c r="J123" s="27">
        <f t="shared" si="23"/>
        <v>-95</v>
      </c>
      <c r="K123" s="28">
        <f t="shared" si="24"/>
        <v>-1</v>
      </c>
      <c r="L123" s="24" t="s">
        <v>108</v>
      </c>
      <c r="M123" s="24" t="str">
        <f t="shared" si="25"/>
        <v>Belum Diisi</v>
      </c>
      <c r="N123" s="24" t="str">
        <f t="shared" si="26"/>
        <v>Abu</v>
      </c>
      <c r="O123" s="29" t="s">
        <v>107</v>
      </c>
    </row>
    <row r="124" ht="19.5" customHeight="1">
      <c r="A124" s="35" t="s">
        <v>75</v>
      </c>
      <c r="B124" s="12">
        <v>4.0</v>
      </c>
      <c r="C124" s="13" t="s">
        <v>77</v>
      </c>
      <c r="D124" s="13" t="s">
        <v>76</v>
      </c>
      <c r="E124" s="14" t="s">
        <v>24</v>
      </c>
      <c r="F124" s="15" t="s">
        <v>104</v>
      </c>
      <c r="G124" s="12">
        <v>2025.0</v>
      </c>
      <c r="H124" s="16">
        <v>8.8</v>
      </c>
      <c r="I124" s="26"/>
      <c r="J124" s="18">
        <f t="shared" si="23"/>
        <v>-8.8</v>
      </c>
      <c r="K124" s="19">
        <f t="shared" si="24"/>
        <v>-1</v>
      </c>
      <c r="L124" s="14" t="s">
        <v>108</v>
      </c>
      <c r="M124" s="14" t="str">
        <f t="shared" si="25"/>
        <v>Belum Diisi</v>
      </c>
      <c r="N124" s="14" t="str">
        <f t="shared" si="26"/>
        <v>Abu</v>
      </c>
      <c r="O124" s="29" t="s">
        <v>107</v>
      </c>
    </row>
    <row r="125" ht="19.5" customHeight="1">
      <c r="A125" s="36" t="s">
        <v>75</v>
      </c>
      <c r="B125" s="22">
        <v>4.0</v>
      </c>
      <c r="C125" s="23" t="s">
        <v>77</v>
      </c>
      <c r="D125" s="23" t="s">
        <v>76</v>
      </c>
      <c r="E125" s="24" t="s">
        <v>24</v>
      </c>
      <c r="F125" s="25" t="s">
        <v>104</v>
      </c>
      <c r="G125" s="22">
        <v>2026.0</v>
      </c>
      <c r="H125" s="16">
        <v>10.0</v>
      </c>
      <c r="I125" s="26"/>
      <c r="J125" s="27">
        <f t="shared" si="23"/>
        <v>-10</v>
      </c>
      <c r="K125" s="28">
        <f t="shared" si="24"/>
        <v>-1</v>
      </c>
      <c r="L125" s="24" t="s">
        <v>108</v>
      </c>
      <c r="M125" s="24" t="str">
        <f t="shared" si="25"/>
        <v>Belum Diisi</v>
      </c>
      <c r="N125" s="24" t="str">
        <f t="shared" si="26"/>
        <v>Abu</v>
      </c>
      <c r="O125" s="29" t="s">
        <v>107</v>
      </c>
    </row>
    <row r="126" ht="19.5" customHeight="1">
      <c r="A126" s="35" t="s">
        <v>75</v>
      </c>
      <c r="B126" s="12">
        <v>4.0</v>
      </c>
      <c r="C126" s="13" t="s">
        <v>77</v>
      </c>
      <c r="D126" s="13" t="s">
        <v>76</v>
      </c>
      <c r="E126" s="14" t="s">
        <v>24</v>
      </c>
      <c r="F126" s="15" t="s">
        <v>104</v>
      </c>
      <c r="G126" s="12">
        <v>2027.0</v>
      </c>
      <c r="H126" s="16">
        <v>20.0</v>
      </c>
      <c r="I126" s="26"/>
      <c r="J126" s="18">
        <f t="shared" si="23"/>
        <v>-20</v>
      </c>
      <c r="K126" s="19">
        <f t="shared" si="24"/>
        <v>-1</v>
      </c>
      <c r="L126" s="14" t="s">
        <v>108</v>
      </c>
      <c r="M126" s="14" t="str">
        <f t="shared" si="25"/>
        <v>Belum Diisi</v>
      </c>
      <c r="N126" s="14" t="str">
        <f t="shared" si="26"/>
        <v>Abu</v>
      </c>
      <c r="O126" s="29" t="s">
        <v>107</v>
      </c>
    </row>
    <row r="127" ht="19.5" customHeight="1">
      <c r="A127" s="36" t="s">
        <v>75</v>
      </c>
      <c r="B127" s="22">
        <v>4.0</v>
      </c>
      <c r="C127" s="23" t="s">
        <v>77</v>
      </c>
      <c r="D127" s="23" t="s">
        <v>76</v>
      </c>
      <c r="E127" s="24" t="s">
        <v>24</v>
      </c>
      <c r="F127" s="25" t="s">
        <v>104</v>
      </c>
      <c r="G127" s="22">
        <v>2028.0</v>
      </c>
      <c r="H127" s="16">
        <v>30.0</v>
      </c>
      <c r="I127" s="26"/>
      <c r="J127" s="27">
        <f t="shared" si="23"/>
        <v>-30</v>
      </c>
      <c r="K127" s="28">
        <f t="shared" si="24"/>
        <v>-1</v>
      </c>
      <c r="L127" s="24" t="s">
        <v>108</v>
      </c>
      <c r="M127" s="24" t="str">
        <f t="shared" si="25"/>
        <v>Belum Diisi</v>
      </c>
      <c r="N127" s="24" t="str">
        <f t="shared" si="26"/>
        <v>Abu</v>
      </c>
      <c r="O127" s="29" t="s">
        <v>107</v>
      </c>
    </row>
    <row r="128" ht="19.5" customHeight="1">
      <c r="A128" s="35" t="s">
        <v>75</v>
      </c>
      <c r="B128" s="12">
        <v>4.0</v>
      </c>
      <c r="C128" s="13" t="s">
        <v>77</v>
      </c>
      <c r="D128" s="13" t="s">
        <v>76</v>
      </c>
      <c r="E128" s="14" t="s">
        <v>24</v>
      </c>
      <c r="F128" s="15" t="s">
        <v>104</v>
      </c>
      <c r="G128" s="12">
        <v>2029.0</v>
      </c>
      <c r="H128" s="16">
        <v>40.0</v>
      </c>
      <c r="I128" s="26"/>
      <c r="J128" s="18">
        <f t="shared" si="23"/>
        <v>-40</v>
      </c>
      <c r="K128" s="19">
        <f t="shared" si="24"/>
        <v>-1</v>
      </c>
      <c r="L128" s="14" t="s">
        <v>108</v>
      </c>
      <c r="M128" s="14" t="str">
        <f t="shared" si="25"/>
        <v>Belum Diisi</v>
      </c>
      <c r="N128" s="14" t="str">
        <f t="shared" si="26"/>
        <v>Abu</v>
      </c>
      <c r="O128" s="29" t="s">
        <v>107</v>
      </c>
    </row>
    <row r="129" ht="19.5" customHeight="1">
      <c r="A129" s="36" t="s">
        <v>78</v>
      </c>
      <c r="B129" s="22">
        <v>4.0</v>
      </c>
      <c r="C129" s="23" t="s">
        <v>77</v>
      </c>
      <c r="D129" s="23" t="s">
        <v>79</v>
      </c>
      <c r="E129" s="24" t="s">
        <v>120</v>
      </c>
      <c r="F129" s="25" t="s">
        <v>121</v>
      </c>
      <c r="G129" s="22">
        <v>2025.0</v>
      </c>
      <c r="H129" s="16">
        <v>628.28</v>
      </c>
      <c r="I129" s="17">
        <v>645.0</v>
      </c>
      <c r="J129" s="27">
        <f t="shared" si="23"/>
        <v>16.72</v>
      </c>
      <c r="K129" s="28">
        <f t="shared" si="24"/>
        <v>0.02661233845</v>
      </c>
      <c r="L129" s="24" t="s">
        <v>105</v>
      </c>
      <c r="M129" s="24" t="str">
        <f t="shared" ref="M129:M133" si="27">IF(I129="","Belum Diisi",IF(I129&lt;=H129,"On Track",IF(I129&lt;=H129*1.1,"Warning","Alert")))</f>
        <v>Warning</v>
      </c>
      <c r="N129" s="24" t="str">
        <f t="shared" ref="N129:N133" si="28">IF(I129="","Abu",IF(I129&lt;=H129,"Hijau",IF(I129&lt;=H129*1.1,"Kuning","Merah")))</f>
        <v>Kuning</v>
      </c>
      <c r="O129" s="20" t="s">
        <v>106</v>
      </c>
    </row>
    <row r="130" ht="19.5" customHeight="1">
      <c r="A130" s="35" t="s">
        <v>78</v>
      </c>
      <c r="B130" s="12">
        <v>4.0</v>
      </c>
      <c r="C130" s="13" t="s">
        <v>77</v>
      </c>
      <c r="D130" s="13" t="s">
        <v>79</v>
      </c>
      <c r="E130" s="14" t="s">
        <v>120</v>
      </c>
      <c r="F130" s="15" t="s">
        <v>121</v>
      </c>
      <c r="G130" s="12">
        <v>2026.0</v>
      </c>
      <c r="H130" s="16">
        <v>633.8</v>
      </c>
      <c r="I130" s="26"/>
      <c r="J130" s="18">
        <f t="shared" si="23"/>
        <v>-633.8</v>
      </c>
      <c r="K130" s="19">
        <f t="shared" si="24"/>
        <v>-1</v>
      </c>
      <c r="L130" s="14" t="s">
        <v>105</v>
      </c>
      <c r="M130" s="14" t="str">
        <f t="shared" si="27"/>
        <v>Belum Diisi</v>
      </c>
      <c r="N130" s="14" t="str">
        <f t="shared" si="28"/>
        <v>Abu</v>
      </c>
      <c r="O130" s="29" t="s">
        <v>107</v>
      </c>
    </row>
    <row r="131" ht="19.5" customHeight="1">
      <c r="A131" s="36" t="s">
        <v>78</v>
      </c>
      <c r="B131" s="22">
        <v>4.0</v>
      </c>
      <c r="C131" s="23" t="s">
        <v>77</v>
      </c>
      <c r="D131" s="23" t="s">
        <v>79</v>
      </c>
      <c r="E131" s="24" t="s">
        <v>120</v>
      </c>
      <c r="F131" s="25" t="s">
        <v>121</v>
      </c>
      <c r="G131" s="22">
        <v>2027.0</v>
      </c>
      <c r="H131" s="16">
        <v>638.7</v>
      </c>
      <c r="I131" s="26"/>
      <c r="J131" s="27">
        <f t="shared" si="23"/>
        <v>-638.7</v>
      </c>
      <c r="K131" s="28">
        <f t="shared" si="24"/>
        <v>-1</v>
      </c>
      <c r="L131" s="24" t="s">
        <v>105</v>
      </c>
      <c r="M131" s="24" t="str">
        <f t="shared" si="27"/>
        <v>Belum Diisi</v>
      </c>
      <c r="N131" s="24" t="str">
        <f t="shared" si="28"/>
        <v>Abu</v>
      </c>
      <c r="O131" s="29" t="s">
        <v>107</v>
      </c>
    </row>
    <row r="132" ht="19.5" customHeight="1">
      <c r="A132" s="35" t="s">
        <v>78</v>
      </c>
      <c r="B132" s="12">
        <v>4.0</v>
      </c>
      <c r="C132" s="13" t="s">
        <v>77</v>
      </c>
      <c r="D132" s="13" t="s">
        <v>79</v>
      </c>
      <c r="E132" s="14" t="s">
        <v>120</v>
      </c>
      <c r="F132" s="15" t="s">
        <v>121</v>
      </c>
      <c r="G132" s="12">
        <v>2028.0</v>
      </c>
      <c r="H132" s="16">
        <v>642.5</v>
      </c>
      <c r="I132" s="26"/>
      <c r="J132" s="18">
        <f t="shared" si="23"/>
        <v>-642.5</v>
      </c>
      <c r="K132" s="19">
        <f t="shared" si="24"/>
        <v>-1</v>
      </c>
      <c r="L132" s="14" t="s">
        <v>105</v>
      </c>
      <c r="M132" s="14" t="str">
        <f t="shared" si="27"/>
        <v>Belum Diisi</v>
      </c>
      <c r="N132" s="14" t="str">
        <f t="shared" si="28"/>
        <v>Abu</v>
      </c>
      <c r="O132" s="29" t="s">
        <v>107</v>
      </c>
    </row>
    <row r="133" ht="19.5" customHeight="1">
      <c r="A133" s="36" t="s">
        <v>78</v>
      </c>
      <c r="B133" s="22">
        <v>4.0</v>
      </c>
      <c r="C133" s="23" t="s">
        <v>77</v>
      </c>
      <c r="D133" s="23" t="s">
        <v>79</v>
      </c>
      <c r="E133" s="24" t="s">
        <v>120</v>
      </c>
      <c r="F133" s="25" t="s">
        <v>121</v>
      </c>
      <c r="G133" s="22">
        <v>2029.0</v>
      </c>
      <c r="H133" s="16">
        <v>645.3</v>
      </c>
      <c r="I133" s="26"/>
      <c r="J133" s="27">
        <f t="shared" si="23"/>
        <v>-645.3</v>
      </c>
      <c r="K133" s="28">
        <f t="shared" si="24"/>
        <v>-1</v>
      </c>
      <c r="L133" s="24" t="s">
        <v>105</v>
      </c>
      <c r="M133" s="24" t="str">
        <f t="shared" si="27"/>
        <v>Belum Diisi</v>
      </c>
      <c r="N133" s="24" t="str">
        <f t="shared" si="28"/>
        <v>Abu</v>
      </c>
      <c r="O133" s="29" t="s">
        <v>107</v>
      </c>
    </row>
    <row r="134" ht="19.5" customHeight="1">
      <c r="A134" s="37" t="s">
        <v>81</v>
      </c>
      <c r="B134" s="12">
        <v>5.0</v>
      </c>
      <c r="C134" s="13" t="s">
        <v>83</v>
      </c>
      <c r="D134" s="13" t="s">
        <v>82</v>
      </c>
      <c r="E134" s="14" t="s">
        <v>24</v>
      </c>
      <c r="F134" s="15" t="s">
        <v>121</v>
      </c>
      <c r="G134" s="12">
        <v>2025.0</v>
      </c>
      <c r="H134" s="16">
        <v>99.55</v>
      </c>
      <c r="I134" s="26"/>
      <c r="J134" s="18">
        <f t="shared" si="23"/>
        <v>-99.55</v>
      </c>
      <c r="K134" s="19">
        <f t="shared" si="24"/>
        <v>-1</v>
      </c>
      <c r="L134" s="14" t="s">
        <v>108</v>
      </c>
      <c r="M134" s="14" t="str">
        <f t="shared" ref="M134:M153" si="29">IF(I134="","Belum Diisi",IF(I134&gt;=H134,"On Track",IF(I134&gt;=H134*0.9,"Warning","Alert")))</f>
        <v>Belum Diisi</v>
      </c>
      <c r="N134" s="14" t="str">
        <f t="shared" ref="N134:N153" si="30">IF(I134="","Abu",IF(I134&gt;=H134,"Hijau",IF(I134&gt;=H134*0.9,"Kuning","Merah")))</f>
        <v>Abu</v>
      </c>
      <c r="O134" s="29" t="s">
        <v>107</v>
      </c>
    </row>
    <row r="135" ht="19.5" customHeight="1">
      <c r="A135" s="38" t="s">
        <v>81</v>
      </c>
      <c r="B135" s="22">
        <v>5.0</v>
      </c>
      <c r="C135" s="23" t="s">
        <v>83</v>
      </c>
      <c r="D135" s="23" t="s">
        <v>82</v>
      </c>
      <c r="E135" s="24" t="s">
        <v>24</v>
      </c>
      <c r="F135" s="25" t="s">
        <v>121</v>
      </c>
      <c r="G135" s="22">
        <v>2026.0</v>
      </c>
      <c r="H135" s="16">
        <v>99.64</v>
      </c>
      <c r="I135" s="26"/>
      <c r="J135" s="27">
        <f t="shared" si="23"/>
        <v>-99.64</v>
      </c>
      <c r="K135" s="28">
        <f t="shared" si="24"/>
        <v>-1</v>
      </c>
      <c r="L135" s="24" t="s">
        <v>108</v>
      </c>
      <c r="M135" s="24" t="str">
        <f t="shared" si="29"/>
        <v>Belum Diisi</v>
      </c>
      <c r="N135" s="24" t="str">
        <f t="shared" si="30"/>
        <v>Abu</v>
      </c>
      <c r="O135" s="29" t="s">
        <v>107</v>
      </c>
    </row>
    <row r="136" ht="19.5" customHeight="1">
      <c r="A136" s="37" t="s">
        <v>81</v>
      </c>
      <c r="B136" s="12">
        <v>5.0</v>
      </c>
      <c r="C136" s="13" t="s">
        <v>83</v>
      </c>
      <c r="D136" s="13" t="s">
        <v>82</v>
      </c>
      <c r="E136" s="14" t="s">
        <v>24</v>
      </c>
      <c r="F136" s="15" t="s">
        <v>121</v>
      </c>
      <c r="G136" s="12">
        <v>2027.0</v>
      </c>
      <c r="H136" s="16">
        <v>99.73</v>
      </c>
      <c r="I136" s="26"/>
      <c r="J136" s="18">
        <f t="shared" si="23"/>
        <v>-99.73</v>
      </c>
      <c r="K136" s="19">
        <f t="shared" si="24"/>
        <v>-1</v>
      </c>
      <c r="L136" s="14" t="s">
        <v>108</v>
      </c>
      <c r="M136" s="14" t="str">
        <f t="shared" si="29"/>
        <v>Belum Diisi</v>
      </c>
      <c r="N136" s="14" t="str">
        <f t="shared" si="30"/>
        <v>Abu</v>
      </c>
      <c r="O136" s="29" t="s">
        <v>107</v>
      </c>
    </row>
    <row r="137" ht="19.5" customHeight="1">
      <c r="A137" s="38" t="s">
        <v>81</v>
      </c>
      <c r="B137" s="22">
        <v>5.0</v>
      </c>
      <c r="C137" s="23" t="s">
        <v>83</v>
      </c>
      <c r="D137" s="23" t="s">
        <v>82</v>
      </c>
      <c r="E137" s="24" t="s">
        <v>24</v>
      </c>
      <c r="F137" s="25" t="s">
        <v>121</v>
      </c>
      <c r="G137" s="22">
        <v>2028.0</v>
      </c>
      <c r="H137" s="16">
        <v>99.81</v>
      </c>
      <c r="I137" s="26"/>
      <c r="J137" s="27">
        <f t="shared" si="23"/>
        <v>-99.81</v>
      </c>
      <c r="K137" s="28">
        <f t="shared" si="24"/>
        <v>-1</v>
      </c>
      <c r="L137" s="24" t="s">
        <v>108</v>
      </c>
      <c r="M137" s="24" t="str">
        <f t="shared" si="29"/>
        <v>Belum Diisi</v>
      </c>
      <c r="N137" s="24" t="str">
        <f t="shared" si="30"/>
        <v>Abu</v>
      </c>
      <c r="O137" s="29" t="s">
        <v>107</v>
      </c>
    </row>
    <row r="138" ht="19.5" customHeight="1">
      <c r="A138" s="37" t="s">
        <v>81</v>
      </c>
      <c r="B138" s="12">
        <v>5.0</v>
      </c>
      <c r="C138" s="13" t="s">
        <v>83</v>
      </c>
      <c r="D138" s="13" t="s">
        <v>82</v>
      </c>
      <c r="E138" s="14" t="s">
        <v>24</v>
      </c>
      <c r="F138" s="15" t="s">
        <v>121</v>
      </c>
      <c r="G138" s="12">
        <v>2029.0</v>
      </c>
      <c r="H138" s="16">
        <v>99.9</v>
      </c>
      <c r="I138" s="26"/>
      <c r="J138" s="18">
        <f t="shared" si="23"/>
        <v>-99.9</v>
      </c>
      <c r="K138" s="19">
        <f t="shared" si="24"/>
        <v>-1</v>
      </c>
      <c r="L138" s="14" t="s">
        <v>108</v>
      </c>
      <c r="M138" s="14" t="str">
        <f t="shared" si="29"/>
        <v>Belum Diisi</v>
      </c>
      <c r="N138" s="14" t="str">
        <f t="shared" si="30"/>
        <v>Abu</v>
      </c>
      <c r="O138" s="29" t="s">
        <v>107</v>
      </c>
    </row>
    <row r="139" ht="19.5" customHeight="1">
      <c r="A139" s="38" t="s">
        <v>84</v>
      </c>
      <c r="B139" s="22">
        <v>5.0</v>
      </c>
      <c r="C139" s="23" t="s">
        <v>83</v>
      </c>
      <c r="D139" s="23" t="s">
        <v>85</v>
      </c>
      <c r="E139" s="24" t="s">
        <v>24</v>
      </c>
      <c r="F139" s="25" t="s">
        <v>121</v>
      </c>
      <c r="G139" s="22">
        <v>2025.0</v>
      </c>
      <c r="H139" s="16">
        <v>100.0</v>
      </c>
      <c r="I139" s="26"/>
      <c r="J139" s="27">
        <f t="shared" si="23"/>
        <v>-100</v>
      </c>
      <c r="K139" s="28">
        <f t="shared" si="24"/>
        <v>-1</v>
      </c>
      <c r="L139" s="24" t="s">
        <v>108</v>
      </c>
      <c r="M139" s="24" t="str">
        <f t="shared" si="29"/>
        <v>Belum Diisi</v>
      </c>
      <c r="N139" s="24" t="str">
        <f t="shared" si="30"/>
        <v>Abu</v>
      </c>
      <c r="O139" s="29" t="s">
        <v>107</v>
      </c>
    </row>
    <row r="140" ht="19.5" customHeight="1">
      <c r="A140" s="37" t="s">
        <v>84</v>
      </c>
      <c r="B140" s="12">
        <v>5.0</v>
      </c>
      <c r="C140" s="13" t="s">
        <v>83</v>
      </c>
      <c r="D140" s="13" t="s">
        <v>85</v>
      </c>
      <c r="E140" s="14" t="s">
        <v>24</v>
      </c>
      <c r="F140" s="15" t="s">
        <v>121</v>
      </c>
      <c r="G140" s="12">
        <v>2026.0</v>
      </c>
      <c r="H140" s="16">
        <v>100.0</v>
      </c>
      <c r="I140" s="26"/>
      <c r="J140" s="18">
        <f t="shared" si="23"/>
        <v>-100</v>
      </c>
      <c r="K140" s="19">
        <f t="shared" si="24"/>
        <v>-1</v>
      </c>
      <c r="L140" s="14" t="s">
        <v>108</v>
      </c>
      <c r="M140" s="14" t="str">
        <f t="shared" si="29"/>
        <v>Belum Diisi</v>
      </c>
      <c r="N140" s="14" t="str">
        <f t="shared" si="30"/>
        <v>Abu</v>
      </c>
      <c r="O140" s="29" t="s">
        <v>107</v>
      </c>
    </row>
    <row r="141" ht="19.5" customHeight="1">
      <c r="A141" s="38" t="s">
        <v>84</v>
      </c>
      <c r="B141" s="22">
        <v>5.0</v>
      </c>
      <c r="C141" s="23" t="s">
        <v>83</v>
      </c>
      <c r="D141" s="23" t="s">
        <v>85</v>
      </c>
      <c r="E141" s="24" t="s">
        <v>24</v>
      </c>
      <c r="F141" s="25" t="s">
        <v>121</v>
      </c>
      <c r="G141" s="22">
        <v>2027.0</v>
      </c>
      <c r="H141" s="16">
        <v>100.0</v>
      </c>
      <c r="I141" s="26"/>
      <c r="J141" s="27">
        <f t="shared" si="23"/>
        <v>-100</v>
      </c>
      <c r="K141" s="28">
        <f t="shared" si="24"/>
        <v>-1</v>
      </c>
      <c r="L141" s="24" t="s">
        <v>108</v>
      </c>
      <c r="M141" s="24" t="str">
        <f t="shared" si="29"/>
        <v>Belum Diisi</v>
      </c>
      <c r="N141" s="24" t="str">
        <f t="shared" si="30"/>
        <v>Abu</v>
      </c>
      <c r="O141" s="29" t="s">
        <v>107</v>
      </c>
    </row>
    <row r="142" ht="19.5" customHeight="1">
      <c r="A142" s="37" t="s">
        <v>84</v>
      </c>
      <c r="B142" s="12">
        <v>5.0</v>
      </c>
      <c r="C142" s="13" t="s">
        <v>83</v>
      </c>
      <c r="D142" s="13" t="s">
        <v>85</v>
      </c>
      <c r="E142" s="14" t="s">
        <v>24</v>
      </c>
      <c r="F142" s="15" t="s">
        <v>121</v>
      </c>
      <c r="G142" s="12">
        <v>2028.0</v>
      </c>
      <c r="H142" s="16">
        <v>100.0</v>
      </c>
      <c r="I142" s="26"/>
      <c r="J142" s="18">
        <f t="shared" si="23"/>
        <v>-100</v>
      </c>
      <c r="K142" s="19">
        <f t="shared" si="24"/>
        <v>-1</v>
      </c>
      <c r="L142" s="14" t="s">
        <v>108</v>
      </c>
      <c r="M142" s="14" t="str">
        <f t="shared" si="29"/>
        <v>Belum Diisi</v>
      </c>
      <c r="N142" s="14" t="str">
        <f t="shared" si="30"/>
        <v>Abu</v>
      </c>
      <c r="O142" s="29" t="s">
        <v>107</v>
      </c>
    </row>
    <row r="143" ht="19.5" customHeight="1">
      <c r="A143" s="38" t="s">
        <v>84</v>
      </c>
      <c r="B143" s="22">
        <v>5.0</v>
      </c>
      <c r="C143" s="23" t="s">
        <v>83</v>
      </c>
      <c r="D143" s="23" t="s">
        <v>85</v>
      </c>
      <c r="E143" s="24" t="s">
        <v>24</v>
      </c>
      <c r="F143" s="25" t="s">
        <v>121</v>
      </c>
      <c r="G143" s="22">
        <v>2029.0</v>
      </c>
      <c r="H143" s="16">
        <v>100.0</v>
      </c>
      <c r="I143" s="26"/>
      <c r="J143" s="27">
        <f t="shared" si="23"/>
        <v>-100</v>
      </c>
      <c r="K143" s="28">
        <f t="shared" si="24"/>
        <v>-1</v>
      </c>
      <c r="L143" s="24" t="s">
        <v>108</v>
      </c>
      <c r="M143" s="24" t="str">
        <f t="shared" si="29"/>
        <v>Belum Diisi</v>
      </c>
      <c r="N143" s="24" t="str">
        <f t="shared" si="30"/>
        <v>Abu</v>
      </c>
      <c r="O143" s="29" t="s">
        <v>107</v>
      </c>
    </row>
    <row r="144" ht="19.5" customHeight="1">
      <c r="A144" s="37" t="s">
        <v>86</v>
      </c>
      <c r="B144" s="12">
        <v>5.0</v>
      </c>
      <c r="C144" s="13" t="s">
        <v>83</v>
      </c>
      <c r="D144" s="13" t="s">
        <v>87</v>
      </c>
      <c r="E144" s="14" t="s">
        <v>24</v>
      </c>
      <c r="F144" s="15" t="s">
        <v>121</v>
      </c>
      <c r="G144" s="12">
        <v>2025.0</v>
      </c>
      <c r="H144" s="16">
        <v>100.0</v>
      </c>
      <c r="I144" s="26"/>
      <c r="J144" s="18">
        <f t="shared" si="23"/>
        <v>-100</v>
      </c>
      <c r="K144" s="19">
        <f t="shared" si="24"/>
        <v>-1</v>
      </c>
      <c r="L144" s="14" t="s">
        <v>108</v>
      </c>
      <c r="M144" s="14" t="str">
        <f t="shared" si="29"/>
        <v>Belum Diisi</v>
      </c>
      <c r="N144" s="14" t="str">
        <f t="shared" si="30"/>
        <v>Abu</v>
      </c>
      <c r="O144" s="29" t="s">
        <v>107</v>
      </c>
    </row>
    <row r="145" ht="19.5" customHeight="1">
      <c r="A145" s="38" t="s">
        <v>86</v>
      </c>
      <c r="B145" s="22">
        <v>5.0</v>
      </c>
      <c r="C145" s="23" t="s">
        <v>83</v>
      </c>
      <c r="D145" s="23" t="s">
        <v>87</v>
      </c>
      <c r="E145" s="24" t="s">
        <v>24</v>
      </c>
      <c r="F145" s="25" t="s">
        <v>121</v>
      </c>
      <c r="G145" s="22">
        <v>2026.0</v>
      </c>
      <c r="H145" s="16">
        <v>100.0</v>
      </c>
      <c r="I145" s="26"/>
      <c r="J145" s="27">
        <f t="shared" si="23"/>
        <v>-100</v>
      </c>
      <c r="K145" s="28">
        <f t="shared" si="24"/>
        <v>-1</v>
      </c>
      <c r="L145" s="24" t="s">
        <v>108</v>
      </c>
      <c r="M145" s="24" t="str">
        <f t="shared" si="29"/>
        <v>Belum Diisi</v>
      </c>
      <c r="N145" s="24" t="str">
        <f t="shared" si="30"/>
        <v>Abu</v>
      </c>
      <c r="O145" s="29" t="s">
        <v>107</v>
      </c>
    </row>
    <row r="146" ht="19.5" customHeight="1">
      <c r="A146" s="37" t="s">
        <v>86</v>
      </c>
      <c r="B146" s="12">
        <v>5.0</v>
      </c>
      <c r="C146" s="13" t="s">
        <v>83</v>
      </c>
      <c r="D146" s="13" t="s">
        <v>87</v>
      </c>
      <c r="E146" s="14" t="s">
        <v>24</v>
      </c>
      <c r="F146" s="15" t="s">
        <v>121</v>
      </c>
      <c r="G146" s="12">
        <v>2027.0</v>
      </c>
      <c r="H146" s="16">
        <v>100.0</v>
      </c>
      <c r="I146" s="26"/>
      <c r="J146" s="18">
        <f t="shared" si="23"/>
        <v>-100</v>
      </c>
      <c r="K146" s="19">
        <f t="shared" si="24"/>
        <v>-1</v>
      </c>
      <c r="L146" s="14" t="s">
        <v>108</v>
      </c>
      <c r="M146" s="14" t="str">
        <f t="shared" si="29"/>
        <v>Belum Diisi</v>
      </c>
      <c r="N146" s="14" t="str">
        <f t="shared" si="30"/>
        <v>Abu</v>
      </c>
      <c r="O146" s="29" t="s">
        <v>107</v>
      </c>
    </row>
    <row r="147" ht="19.5" customHeight="1">
      <c r="A147" s="38" t="s">
        <v>86</v>
      </c>
      <c r="B147" s="22">
        <v>5.0</v>
      </c>
      <c r="C147" s="23" t="s">
        <v>83</v>
      </c>
      <c r="D147" s="23" t="s">
        <v>87</v>
      </c>
      <c r="E147" s="24" t="s">
        <v>24</v>
      </c>
      <c r="F147" s="25" t="s">
        <v>121</v>
      </c>
      <c r="G147" s="22">
        <v>2028.0</v>
      </c>
      <c r="H147" s="16">
        <v>100.0</v>
      </c>
      <c r="I147" s="26"/>
      <c r="J147" s="27">
        <f t="shared" si="23"/>
        <v>-100</v>
      </c>
      <c r="K147" s="28">
        <f t="shared" si="24"/>
        <v>-1</v>
      </c>
      <c r="L147" s="24" t="s">
        <v>108</v>
      </c>
      <c r="M147" s="24" t="str">
        <f t="shared" si="29"/>
        <v>Belum Diisi</v>
      </c>
      <c r="N147" s="24" t="str">
        <f t="shared" si="30"/>
        <v>Abu</v>
      </c>
      <c r="O147" s="29" t="s">
        <v>107</v>
      </c>
    </row>
    <row r="148" ht="19.5" customHeight="1">
      <c r="A148" s="37" t="s">
        <v>86</v>
      </c>
      <c r="B148" s="12">
        <v>5.0</v>
      </c>
      <c r="C148" s="13" t="s">
        <v>83</v>
      </c>
      <c r="D148" s="13" t="s">
        <v>87</v>
      </c>
      <c r="E148" s="14" t="s">
        <v>24</v>
      </c>
      <c r="F148" s="15" t="s">
        <v>121</v>
      </c>
      <c r="G148" s="12">
        <v>2029.0</v>
      </c>
      <c r="H148" s="16">
        <v>100.0</v>
      </c>
      <c r="I148" s="26"/>
      <c r="J148" s="18">
        <f t="shared" si="23"/>
        <v>-100</v>
      </c>
      <c r="K148" s="19">
        <f t="shared" si="24"/>
        <v>-1</v>
      </c>
      <c r="L148" s="14" t="s">
        <v>108</v>
      </c>
      <c r="M148" s="14" t="str">
        <f t="shared" si="29"/>
        <v>Belum Diisi</v>
      </c>
      <c r="N148" s="14" t="str">
        <f t="shared" si="30"/>
        <v>Abu</v>
      </c>
      <c r="O148" s="29" t="s">
        <v>107</v>
      </c>
    </row>
    <row r="149" ht="19.5" customHeight="1">
      <c r="A149" s="38" t="s">
        <v>88</v>
      </c>
      <c r="B149" s="22">
        <v>5.0</v>
      </c>
      <c r="C149" s="23" t="s">
        <v>83</v>
      </c>
      <c r="D149" s="23" t="s">
        <v>89</v>
      </c>
      <c r="E149" s="24" t="s">
        <v>24</v>
      </c>
      <c r="F149" s="25" t="s">
        <v>121</v>
      </c>
      <c r="G149" s="22">
        <v>2025.0</v>
      </c>
      <c r="H149" s="16">
        <v>100.0</v>
      </c>
      <c r="I149" s="26"/>
      <c r="J149" s="27">
        <f t="shared" si="23"/>
        <v>-100</v>
      </c>
      <c r="K149" s="28">
        <f t="shared" si="24"/>
        <v>-1</v>
      </c>
      <c r="L149" s="24" t="s">
        <v>108</v>
      </c>
      <c r="M149" s="24" t="str">
        <f t="shared" si="29"/>
        <v>Belum Diisi</v>
      </c>
      <c r="N149" s="24" t="str">
        <f t="shared" si="30"/>
        <v>Abu</v>
      </c>
      <c r="O149" s="29" t="s">
        <v>107</v>
      </c>
    </row>
    <row r="150" ht="19.5" customHeight="1">
      <c r="A150" s="37" t="s">
        <v>88</v>
      </c>
      <c r="B150" s="12">
        <v>5.0</v>
      </c>
      <c r="C150" s="13" t="s">
        <v>83</v>
      </c>
      <c r="D150" s="13" t="s">
        <v>89</v>
      </c>
      <c r="E150" s="14" t="s">
        <v>24</v>
      </c>
      <c r="F150" s="15" t="s">
        <v>121</v>
      </c>
      <c r="G150" s="12">
        <v>2026.0</v>
      </c>
      <c r="H150" s="16">
        <v>100.0</v>
      </c>
      <c r="I150" s="26"/>
      <c r="J150" s="18">
        <f t="shared" si="23"/>
        <v>-100</v>
      </c>
      <c r="K150" s="19">
        <f t="shared" si="24"/>
        <v>-1</v>
      </c>
      <c r="L150" s="14" t="s">
        <v>108</v>
      </c>
      <c r="M150" s="14" t="str">
        <f t="shared" si="29"/>
        <v>Belum Diisi</v>
      </c>
      <c r="N150" s="14" t="str">
        <f t="shared" si="30"/>
        <v>Abu</v>
      </c>
      <c r="O150" s="29" t="s">
        <v>107</v>
      </c>
    </row>
    <row r="151" ht="19.5" customHeight="1">
      <c r="A151" s="38" t="s">
        <v>88</v>
      </c>
      <c r="B151" s="22">
        <v>5.0</v>
      </c>
      <c r="C151" s="23" t="s">
        <v>83</v>
      </c>
      <c r="D151" s="23" t="s">
        <v>89</v>
      </c>
      <c r="E151" s="24" t="s">
        <v>24</v>
      </c>
      <c r="F151" s="25" t="s">
        <v>121</v>
      </c>
      <c r="G151" s="22">
        <v>2027.0</v>
      </c>
      <c r="H151" s="16">
        <v>100.0</v>
      </c>
      <c r="I151" s="26"/>
      <c r="J151" s="27">
        <f t="shared" si="23"/>
        <v>-100</v>
      </c>
      <c r="K151" s="28">
        <f t="shared" si="24"/>
        <v>-1</v>
      </c>
      <c r="L151" s="24" t="s">
        <v>108</v>
      </c>
      <c r="M151" s="24" t="str">
        <f t="shared" si="29"/>
        <v>Belum Diisi</v>
      </c>
      <c r="N151" s="24" t="str">
        <f t="shared" si="30"/>
        <v>Abu</v>
      </c>
      <c r="O151" s="29" t="s">
        <v>107</v>
      </c>
    </row>
    <row r="152" ht="19.5" customHeight="1">
      <c r="A152" s="37" t="s">
        <v>88</v>
      </c>
      <c r="B152" s="12">
        <v>5.0</v>
      </c>
      <c r="C152" s="13" t="s">
        <v>83</v>
      </c>
      <c r="D152" s="13" t="s">
        <v>89</v>
      </c>
      <c r="E152" s="14" t="s">
        <v>24</v>
      </c>
      <c r="F152" s="15" t="s">
        <v>121</v>
      </c>
      <c r="G152" s="12">
        <v>2028.0</v>
      </c>
      <c r="H152" s="16">
        <v>100.0</v>
      </c>
      <c r="I152" s="26"/>
      <c r="J152" s="18">
        <f t="shared" si="23"/>
        <v>-100</v>
      </c>
      <c r="K152" s="19">
        <f t="shared" si="24"/>
        <v>-1</v>
      </c>
      <c r="L152" s="14" t="s">
        <v>108</v>
      </c>
      <c r="M152" s="14" t="str">
        <f t="shared" si="29"/>
        <v>Belum Diisi</v>
      </c>
      <c r="N152" s="14" t="str">
        <f t="shared" si="30"/>
        <v>Abu</v>
      </c>
      <c r="O152" s="29" t="s">
        <v>107</v>
      </c>
    </row>
    <row r="153" ht="19.5" customHeight="1">
      <c r="A153" s="38" t="s">
        <v>88</v>
      </c>
      <c r="B153" s="22">
        <v>5.0</v>
      </c>
      <c r="C153" s="23" t="s">
        <v>83</v>
      </c>
      <c r="D153" s="23" t="s">
        <v>89</v>
      </c>
      <c r="E153" s="24" t="s">
        <v>24</v>
      </c>
      <c r="F153" s="25" t="s">
        <v>121</v>
      </c>
      <c r="G153" s="22">
        <v>2029.0</v>
      </c>
      <c r="H153" s="16">
        <v>100.0</v>
      </c>
      <c r="I153" s="26"/>
      <c r="J153" s="27">
        <f t="shared" si="23"/>
        <v>-100</v>
      </c>
      <c r="K153" s="28">
        <f t="shared" si="24"/>
        <v>-1</v>
      </c>
      <c r="L153" s="24" t="s">
        <v>108</v>
      </c>
      <c r="M153" s="24" t="str">
        <f t="shared" si="29"/>
        <v>Belum Diisi</v>
      </c>
      <c r="N153" s="24" t="str">
        <f t="shared" si="30"/>
        <v>Abu</v>
      </c>
      <c r="O153" s="29" t="s">
        <v>107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O1"/>
    <mergeCell ref="A2:O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0"/>
    <col customWidth="1" min="2" max="3" width="8.0"/>
    <col customWidth="1" min="4" max="4" width="26.0"/>
    <col customWidth="1" min="5" max="5" width="12.0"/>
    <col customWidth="1" min="6" max="6" width="18.0"/>
    <col customWidth="1" min="7" max="17" width="12.0"/>
    <col customWidth="1" min="18" max="20" width="14.0"/>
    <col customWidth="1" min="21" max="26" width="8.63"/>
  </cols>
  <sheetData>
    <row r="1" ht="36.0" customHeight="1">
      <c r="A1" s="6" t="s">
        <v>122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8"/>
    </row>
    <row r="2" ht="30.0" customHeight="1">
      <c r="A2" s="9" t="s">
        <v>123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"/>
    </row>
    <row r="3" ht="25.5" customHeight="1">
      <c r="A3" s="39" t="s">
        <v>124</v>
      </c>
      <c r="B3" s="40"/>
      <c r="C3" s="40"/>
      <c r="D3" s="40"/>
      <c r="E3" s="40"/>
      <c r="F3" s="41"/>
      <c r="G3" s="42" t="s">
        <v>125</v>
      </c>
      <c r="H3" s="40"/>
      <c r="I3" s="40"/>
      <c r="J3" s="40"/>
      <c r="K3" s="41"/>
      <c r="L3" s="43" t="s">
        <v>126</v>
      </c>
      <c r="M3" s="40"/>
      <c r="N3" s="40"/>
      <c r="O3" s="40"/>
      <c r="P3" s="41"/>
      <c r="Q3" s="44" t="s">
        <v>127</v>
      </c>
      <c r="R3" s="40"/>
      <c r="S3" s="40"/>
      <c r="T3" s="41"/>
    </row>
    <row r="4" ht="36.0" customHeight="1">
      <c r="A4" s="10" t="s">
        <v>128</v>
      </c>
      <c r="B4" s="10" t="s">
        <v>0</v>
      </c>
      <c r="C4" s="10" t="s">
        <v>129</v>
      </c>
      <c r="D4" s="10" t="s">
        <v>1</v>
      </c>
      <c r="E4" s="10" t="s">
        <v>3</v>
      </c>
      <c r="F4" s="10" t="s">
        <v>95</v>
      </c>
      <c r="G4" s="10" t="s">
        <v>130</v>
      </c>
      <c r="H4" s="10" t="s">
        <v>131</v>
      </c>
      <c r="I4" s="10" t="s">
        <v>132</v>
      </c>
      <c r="J4" s="10" t="s">
        <v>133</v>
      </c>
      <c r="K4" s="10" t="s">
        <v>134</v>
      </c>
      <c r="L4" s="10" t="s">
        <v>135</v>
      </c>
      <c r="M4" s="10" t="s">
        <v>136</v>
      </c>
      <c r="N4" s="10" t="s">
        <v>137</v>
      </c>
      <c r="O4" s="10" t="s">
        <v>138</v>
      </c>
      <c r="P4" s="10" t="s">
        <v>139</v>
      </c>
      <c r="Q4" s="10" t="s">
        <v>140</v>
      </c>
      <c r="R4" s="10" t="s">
        <v>141</v>
      </c>
      <c r="S4" s="10" t="s">
        <v>142</v>
      </c>
      <c r="T4" s="10" t="s">
        <v>143</v>
      </c>
    </row>
    <row r="5">
      <c r="A5" s="22">
        <v>1.0</v>
      </c>
      <c r="B5" s="21" t="s">
        <v>15</v>
      </c>
      <c r="C5" s="22">
        <v>1.0</v>
      </c>
      <c r="D5" s="23" t="s">
        <v>16</v>
      </c>
      <c r="E5" s="24" t="s">
        <v>18</v>
      </c>
      <c r="F5" s="25" t="s">
        <v>104</v>
      </c>
      <c r="G5" s="16">
        <v>1.82</v>
      </c>
      <c r="H5" s="16">
        <v>1.83</v>
      </c>
      <c r="I5" s="16">
        <v>1.84</v>
      </c>
      <c r="J5" s="16">
        <v>1.85</v>
      </c>
      <c r="K5" s="16">
        <v>1.85</v>
      </c>
      <c r="L5" s="17">
        <v>1.96</v>
      </c>
      <c r="M5" s="26"/>
      <c r="N5" s="26"/>
      <c r="O5" s="26"/>
      <c r="P5" s="26"/>
      <c r="Q5" s="27">
        <f t="shared" ref="Q5:Q7" si="1">IFERROR(L5-G5,"")</f>
        <v>0.14</v>
      </c>
      <c r="R5" s="28">
        <f t="shared" ref="R5:R7" si="2">IFERROR(L5/G5-1,"")</f>
        <v>0.07692307692</v>
      </c>
      <c r="S5" s="24" t="str">
        <f t="shared" ref="S5:S6" si="3">IF(L5="","Belum Diisi",IF(L5&lt;=G5,"On Track",IF(L5&lt;=G5*1.1,"Warning","Alert")))</f>
        <v>Warning</v>
      </c>
      <c r="T5" s="24" t="str">
        <f t="shared" ref="T5:T6" si="4">IF(L5="","Abu",IF(L5&lt;=G5,"Hijau",IF(L5&lt;=G5*1.1,"Kuning","Merah")))</f>
        <v>Kuning</v>
      </c>
    </row>
    <row r="6">
      <c r="A6" s="12">
        <v>2.0</v>
      </c>
      <c r="B6" s="11" t="s">
        <v>19</v>
      </c>
      <c r="C6" s="12">
        <v>1.0</v>
      </c>
      <c r="D6" s="13" t="s">
        <v>20</v>
      </c>
      <c r="E6" s="14" t="s">
        <v>21</v>
      </c>
      <c r="F6" s="15" t="s">
        <v>104</v>
      </c>
      <c r="G6" s="16">
        <v>17.29</v>
      </c>
      <c r="H6" s="16">
        <v>17.0</v>
      </c>
      <c r="I6" s="16">
        <v>17.0</v>
      </c>
      <c r="J6" s="16">
        <v>17.0</v>
      </c>
      <c r="K6" s="16">
        <v>17.0</v>
      </c>
      <c r="L6" s="17">
        <v>14.4</v>
      </c>
      <c r="M6" s="26"/>
      <c r="N6" s="26"/>
      <c r="O6" s="26"/>
      <c r="P6" s="26"/>
      <c r="Q6" s="18">
        <f t="shared" si="1"/>
        <v>-2.89</v>
      </c>
      <c r="R6" s="19">
        <f t="shared" si="2"/>
        <v>-0.1671486408</v>
      </c>
      <c r="S6" s="14" t="str">
        <f t="shared" si="3"/>
        <v>On Track</v>
      </c>
      <c r="T6" s="14" t="str">
        <f t="shared" si="4"/>
        <v>Hijau</v>
      </c>
    </row>
    <row r="7">
      <c r="A7" s="22">
        <v>3.0</v>
      </c>
      <c r="B7" s="21" t="s">
        <v>22</v>
      </c>
      <c r="C7" s="22">
        <v>1.0</v>
      </c>
      <c r="D7" s="23" t="s">
        <v>23</v>
      </c>
      <c r="E7" s="24" t="s">
        <v>24</v>
      </c>
      <c r="F7" s="25" t="s">
        <v>104</v>
      </c>
      <c r="G7" s="16">
        <v>77.0</v>
      </c>
      <c r="H7" s="16">
        <v>77.0</v>
      </c>
      <c r="I7" s="16">
        <v>77.0</v>
      </c>
      <c r="J7" s="16">
        <v>77.0</v>
      </c>
      <c r="K7" s="16">
        <v>77.0</v>
      </c>
      <c r="L7" s="17">
        <v>92.4</v>
      </c>
      <c r="M7" s="26"/>
      <c r="N7" s="26"/>
      <c r="O7" s="26"/>
      <c r="P7" s="26"/>
      <c r="Q7" s="27">
        <f t="shared" si="1"/>
        <v>15.4</v>
      </c>
      <c r="R7" s="28">
        <f t="shared" si="2"/>
        <v>0.2</v>
      </c>
      <c r="S7" s="24" t="str">
        <f>IF(L7="","Belum Diisi",IF(L7&gt;=G7,"On Track",IF(L7&gt;=G7*0.9,"Warning","Alert")))</f>
        <v>On Track</v>
      </c>
      <c r="T7" s="24" t="str">
        <f>IF(L7="","Abu",IF(L7&gt;=G7,"Hijau",IF(L7&gt;=G7*0.9,"Kuning","Merah")))</f>
        <v>Hijau</v>
      </c>
    </row>
    <row r="8">
      <c r="A8" s="12">
        <v>4.0</v>
      </c>
      <c r="B8" s="31" t="s">
        <v>25</v>
      </c>
      <c r="C8" s="12">
        <v>2.0</v>
      </c>
      <c r="D8" s="13" t="s">
        <v>109</v>
      </c>
      <c r="E8" s="14" t="s">
        <v>28</v>
      </c>
      <c r="F8" s="15" t="s">
        <v>110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14"/>
      <c r="R8" s="14"/>
      <c r="S8" s="14"/>
      <c r="T8" s="14"/>
    </row>
    <row r="9">
      <c r="A9" s="22">
        <v>5.0</v>
      </c>
      <c r="B9" s="30" t="s">
        <v>29</v>
      </c>
      <c r="C9" s="22">
        <v>2.0</v>
      </c>
      <c r="D9" s="23" t="s">
        <v>30</v>
      </c>
      <c r="E9" s="24" t="s">
        <v>24</v>
      </c>
      <c r="F9" s="25" t="s">
        <v>110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14"/>
      <c r="R9" s="14"/>
      <c r="S9" s="14"/>
      <c r="T9" s="14"/>
    </row>
    <row r="10">
      <c r="A10" s="12">
        <v>6.0</v>
      </c>
      <c r="B10" s="31" t="s">
        <v>31</v>
      </c>
      <c r="C10" s="12">
        <v>2.0</v>
      </c>
      <c r="D10" s="13" t="s">
        <v>32</v>
      </c>
      <c r="E10" s="14" t="s">
        <v>24</v>
      </c>
      <c r="F10" s="15" t="s">
        <v>114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14"/>
      <c r="R10" s="14"/>
      <c r="S10" s="14"/>
      <c r="T10" s="14"/>
    </row>
    <row r="11">
      <c r="A11" s="22">
        <v>7.0</v>
      </c>
      <c r="B11" s="30" t="s">
        <v>33</v>
      </c>
      <c r="C11" s="22">
        <v>2.0</v>
      </c>
      <c r="D11" s="23" t="s">
        <v>34</v>
      </c>
      <c r="E11" s="24" t="s">
        <v>24</v>
      </c>
      <c r="F11" s="25" t="s">
        <v>115</v>
      </c>
      <c r="G11" s="16">
        <v>4.34</v>
      </c>
      <c r="H11" s="16">
        <v>4.27</v>
      </c>
      <c r="I11" s="16">
        <v>4.24</v>
      </c>
      <c r="J11" s="16">
        <v>4.22</v>
      </c>
      <c r="K11" s="16">
        <v>4.15</v>
      </c>
      <c r="L11" s="26"/>
      <c r="M11" s="26"/>
      <c r="N11" s="26"/>
      <c r="O11" s="26"/>
      <c r="P11" s="26"/>
      <c r="Q11" s="27">
        <f t="shared" ref="Q11:Q18" si="5">IFERROR(L11-G11,"")</f>
        <v>-4.34</v>
      </c>
      <c r="R11" s="28">
        <f t="shared" ref="R11:R18" si="6">IFERROR(L11/G11-1,"")</f>
        <v>-1</v>
      </c>
      <c r="S11" s="24" t="str">
        <f t="shared" ref="S11:S14" si="7">IF(L11="","Belum Diisi",IF(L11&lt;=G11,"On Track",IF(L11&lt;=G11*1.1,"Warning","Alert")))</f>
        <v>Belum Diisi</v>
      </c>
      <c r="T11" s="24" t="str">
        <f t="shared" ref="T11:T14" si="8">IF(L11="","Abu",IF(L11&lt;=G11,"Hijau",IF(L11&lt;=G11*1.1,"Kuning","Merah")))</f>
        <v>Abu</v>
      </c>
    </row>
    <row r="12">
      <c r="A12" s="12">
        <v>8.0</v>
      </c>
      <c r="B12" s="31" t="s">
        <v>35</v>
      </c>
      <c r="C12" s="12">
        <v>2.0</v>
      </c>
      <c r="D12" s="13" t="s">
        <v>36</v>
      </c>
      <c r="E12" s="14" t="s">
        <v>37</v>
      </c>
      <c r="F12" s="15" t="s">
        <v>115</v>
      </c>
      <c r="G12" s="16">
        <v>11.2</v>
      </c>
      <c r="H12" s="16">
        <v>11.0</v>
      </c>
      <c r="I12" s="16">
        <v>10.8</v>
      </c>
      <c r="J12" s="16">
        <v>10.6</v>
      </c>
      <c r="K12" s="16">
        <v>10.4</v>
      </c>
      <c r="L12" s="26"/>
      <c r="M12" s="26"/>
      <c r="N12" s="26"/>
      <c r="O12" s="26"/>
      <c r="P12" s="26"/>
      <c r="Q12" s="18">
        <f t="shared" si="5"/>
        <v>-11.2</v>
      </c>
      <c r="R12" s="19">
        <f t="shared" si="6"/>
        <v>-1</v>
      </c>
      <c r="S12" s="14" t="str">
        <f t="shared" si="7"/>
        <v>Belum Diisi</v>
      </c>
      <c r="T12" s="14" t="str">
        <f t="shared" si="8"/>
        <v>Abu</v>
      </c>
    </row>
    <row r="13">
      <c r="A13" s="22">
        <v>9.0</v>
      </c>
      <c r="B13" s="30" t="s">
        <v>38</v>
      </c>
      <c r="C13" s="22">
        <v>2.0</v>
      </c>
      <c r="D13" s="23" t="s">
        <v>39</v>
      </c>
      <c r="E13" s="24" t="s">
        <v>40</v>
      </c>
      <c r="F13" s="25" t="s">
        <v>115</v>
      </c>
      <c r="G13" s="16">
        <v>106.0</v>
      </c>
      <c r="H13" s="16">
        <v>105.0</v>
      </c>
      <c r="I13" s="16">
        <v>104.0</v>
      </c>
      <c r="J13" s="16">
        <v>103.0</v>
      </c>
      <c r="K13" s="16">
        <v>102.0</v>
      </c>
      <c r="L13" s="26"/>
      <c r="M13" s="26"/>
      <c r="N13" s="26"/>
      <c r="O13" s="26"/>
      <c r="P13" s="26"/>
      <c r="Q13" s="27">
        <f t="shared" si="5"/>
        <v>-106</v>
      </c>
      <c r="R13" s="28">
        <f t="shared" si="6"/>
        <v>-1</v>
      </c>
      <c r="S13" s="24" t="str">
        <f t="shared" si="7"/>
        <v>Belum Diisi</v>
      </c>
      <c r="T13" s="24" t="str">
        <f t="shared" si="8"/>
        <v>Abu</v>
      </c>
    </row>
    <row r="14">
      <c r="A14" s="12">
        <v>10.0</v>
      </c>
      <c r="B14" s="31" t="s">
        <v>41</v>
      </c>
      <c r="C14" s="12">
        <v>2.0</v>
      </c>
      <c r="D14" s="13" t="s">
        <v>42</v>
      </c>
      <c r="E14" s="14" t="s">
        <v>24</v>
      </c>
      <c r="F14" s="15" t="s">
        <v>116</v>
      </c>
      <c r="G14" s="16">
        <v>8.38</v>
      </c>
      <c r="H14" s="16">
        <v>8.12</v>
      </c>
      <c r="I14" s="16">
        <v>7.85</v>
      </c>
      <c r="J14" s="16">
        <v>7.58</v>
      </c>
      <c r="K14" s="16">
        <v>7.31</v>
      </c>
      <c r="L14" s="26"/>
      <c r="M14" s="26"/>
      <c r="N14" s="26"/>
      <c r="O14" s="26"/>
      <c r="P14" s="26"/>
      <c r="Q14" s="18">
        <f t="shared" si="5"/>
        <v>-8.38</v>
      </c>
      <c r="R14" s="19">
        <f t="shared" si="6"/>
        <v>-1</v>
      </c>
      <c r="S14" s="14" t="str">
        <f t="shared" si="7"/>
        <v>Belum Diisi</v>
      </c>
      <c r="T14" s="14" t="str">
        <f t="shared" si="8"/>
        <v>Abu</v>
      </c>
    </row>
    <row r="15">
      <c r="A15" s="22">
        <v>11.0</v>
      </c>
      <c r="B15" s="30" t="s">
        <v>43</v>
      </c>
      <c r="C15" s="22">
        <v>2.0</v>
      </c>
      <c r="D15" s="23" t="s">
        <v>44</v>
      </c>
      <c r="E15" s="24" t="s">
        <v>24</v>
      </c>
      <c r="F15" s="25" t="s">
        <v>114</v>
      </c>
      <c r="G15" s="16">
        <v>54.41</v>
      </c>
      <c r="H15" s="16">
        <v>55.29</v>
      </c>
      <c r="I15" s="16">
        <v>56.18</v>
      </c>
      <c r="J15" s="16">
        <v>57.06</v>
      </c>
      <c r="K15" s="16">
        <v>57.95</v>
      </c>
      <c r="L15" s="26"/>
      <c r="M15" s="26"/>
      <c r="N15" s="26"/>
      <c r="O15" s="26"/>
      <c r="P15" s="26"/>
      <c r="Q15" s="27">
        <f t="shared" si="5"/>
        <v>-54.41</v>
      </c>
      <c r="R15" s="28">
        <f t="shared" si="6"/>
        <v>-1</v>
      </c>
      <c r="S15" s="24" t="str">
        <f>IF(L15="","Belum Diisi",IF(L15&gt;=G15,"On Track",IF(L15&gt;=G15*0.9,"Warning","Alert")))</f>
        <v>Belum Diisi</v>
      </c>
      <c r="T15" s="24" t="str">
        <f>IF(L15="","Abu",IF(L15&gt;=G15,"Hijau",IF(L15&gt;=G15*0.9,"Kuning","Merah")))</f>
        <v>Abu</v>
      </c>
    </row>
    <row r="16">
      <c r="A16" s="12">
        <v>12.0</v>
      </c>
      <c r="B16" s="31" t="s">
        <v>45</v>
      </c>
      <c r="C16" s="12">
        <v>2.0</v>
      </c>
      <c r="D16" s="13" t="s">
        <v>46</v>
      </c>
      <c r="E16" s="14" t="s">
        <v>24</v>
      </c>
      <c r="F16" s="15" t="s">
        <v>114</v>
      </c>
      <c r="G16" s="16">
        <v>6.3</v>
      </c>
      <c r="H16" s="16">
        <v>6.31</v>
      </c>
      <c r="I16" s="16">
        <v>6.32</v>
      </c>
      <c r="J16" s="16">
        <v>6.33</v>
      </c>
      <c r="K16" s="16">
        <v>6.34</v>
      </c>
      <c r="L16" s="26"/>
      <c r="M16" s="26"/>
      <c r="N16" s="26"/>
      <c r="O16" s="26"/>
      <c r="P16" s="26"/>
      <c r="Q16" s="18">
        <f t="shared" si="5"/>
        <v>-6.3</v>
      </c>
      <c r="R16" s="19">
        <f t="shared" si="6"/>
        <v>-1</v>
      </c>
      <c r="S16" s="14" t="str">
        <f>IF(L16="","Belum Diisi",IF(L16&lt;=G16,"On Track",IF(L16&lt;=G16*1.1,"Warning","Alert")))</f>
        <v>Belum Diisi</v>
      </c>
      <c r="T16" s="14" t="str">
        <f>IF(L16="","Abu",IF(L16&lt;=G16,"Hijau",IF(L16&lt;=G16*1.1,"Kuning","Merah")))</f>
        <v>Abu</v>
      </c>
    </row>
    <row r="17">
      <c r="A17" s="22">
        <v>13.0</v>
      </c>
      <c r="B17" s="30" t="s">
        <v>47</v>
      </c>
      <c r="C17" s="22">
        <v>2.0</v>
      </c>
      <c r="D17" s="23" t="s">
        <v>48</v>
      </c>
      <c r="E17" s="24" t="s">
        <v>24</v>
      </c>
      <c r="F17" s="25" t="s">
        <v>114</v>
      </c>
      <c r="G17" s="16">
        <v>0.024</v>
      </c>
      <c r="H17" s="16">
        <v>0.025</v>
      </c>
      <c r="I17" s="16">
        <v>0.026</v>
      </c>
      <c r="J17" s="16">
        <v>0.027</v>
      </c>
      <c r="K17" s="16">
        <v>0.028</v>
      </c>
      <c r="L17" s="26"/>
      <c r="M17" s="26"/>
      <c r="N17" s="26"/>
      <c r="O17" s="26"/>
      <c r="P17" s="26"/>
      <c r="Q17" s="27">
        <f t="shared" si="5"/>
        <v>-0.024</v>
      </c>
      <c r="R17" s="28">
        <f t="shared" si="6"/>
        <v>-1</v>
      </c>
      <c r="S17" s="24" t="str">
        <f>IF(L17="","Belum Diisi",IF(L17&gt;=G17,"On Track",IF(L17&gt;=G17*0.9,"Warning","Alert")))</f>
        <v>Belum Diisi</v>
      </c>
      <c r="T17" s="24" t="str">
        <f>IF(L17="","Abu",IF(L17&gt;=G17,"Hijau",IF(L17&gt;=G17*0.9,"Kuning","Merah")))</f>
        <v>Abu</v>
      </c>
    </row>
    <row r="18">
      <c r="A18" s="12">
        <v>14.0</v>
      </c>
      <c r="B18" s="31" t="s">
        <v>49</v>
      </c>
      <c r="C18" s="12">
        <v>2.0</v>
      </c>
      <c r="D18" s="13" t="s">
        <v>50</v>
      </c>
      <c r="E18" s="14" t="s">
        <v>51</v>
      </c>
      <c r="F18" s="15" t="s">
        <v>116</v>
      </c>
      <c r="G18" s="16">
        <v>0.352</v>
      </c>
      <c r="H18" s="16">
        <v>0.341</v>
      </c>
      <c r="I18" s="16">
        <v>0.33</v>
      </c>
      <c r="J18" s="16">
        <v>0.319</v>
      </c>
      <c r="K18" s="16">
        <v>0.308</v>
      </c>
      <c r="L18" s="26"/>
      <c r="M18" s="26"/>
      <c r="N18" s="26"/>
      <c r="O18" s="26"/>
      <c r="P18" s="26"/>
      <c r="Q18" s="18">
        <f t="shared" si="5"/>
        <v>-0.352</v>
      </c>
      <c r="R18" s="19">
        <f t="shared" si="6"/>
        <v>-1</v>
      </c>
      <c r="S18" s="14" t="str">
        <f>IF(L18="","Belum Diisi",IF(L18&lt;=G18,"On Track",IF(L18&lt;=G18*1.1,"Warning","Alert")))</f>
        <v>Belum Diisi</v>
      </c>
      <c r="T18" s="14" t="str">
        <f>IF(L18="","Abu",IF(L18&lt;=G18,"Hijau",IF(L18&lt;=G18*1.1,"Kuning","Merah")))</f>
        <v>Abu</v>
      </c>
    </row>
    <row r="19">
      <c r="A19" s="22">
        <v>15.0</v>
      </c>
      <c r="B19" s="30" t="s">
        <v>52</v>
      </c>
      <c r="C19" s="22">
        <v>2.0</v>
      </c>
      <c r="D19" s="23" t="s">
        <v>53</v>
      </c>
      <c r="E19" s="24" t="s">
        <v>54</v>
      </c>
      <c r="F19" s="25" t="s">
        <v>116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14"/>
      <c r="R19" s="14"/>
      <c r="S19" s="14"/>
      <c r="T19" s="14"/>
    </row>
    <row r="20">
      <c r="A20" s="12">
        <v>16.0</v>
      </c>
      <c r="B20" s="31" t="s">
        <v>55</v>
      </c>
      <c r="C20" s="12">
        <v>2.0</v>
      </c>
      <c r="D20" s="13" t="s">
        <v>56</v>
      </c>
      <c r="E20" s="14" t="s">
        <v>24</v>
      </c>
      <c r="F20" s="15" t="s">
        <v>114</v>
      </c>
      <c r="G20" s="16">
        <v>3.38</v>
      </c>
      <c r="H20" s="16">
        <v>3.03</v>
      </c>
      <c r="I20" s="16">
        <v>2.96</v>
      </c>
      <c r="J20" s="16">
        <v>2.89</v>
      </c>
      <c r="K20" s="16">
        <v>2.82</v>
      </c>
      <c r="L20" s="26"/>
      <c r="M20" s="26"/>
      <c r="N20" s="26"/>
      <c r="O20" s="26"/>
      <c r="P20" s="26"/>
      <c r="Q20" s="18">
        <f>IFERROR(L20-G20,"")</f>
        <v>-3.38</v>
      </c>
      <c r="R20" s="19">
        <f>IFERROR(L20/G20-1,"")</f>
        <v>-1</v>
      </c>
      <c r="S20" s="14" t="str">
        <f>IF(L20="","Belum Diisi",IF(L20&lt;=G20,"On Track",IF(L20&lt;=G20*1.1,"Warning","Alert")))</f>
        <v>Belum Diisi</v>
      </c>
      <c r="T20" s="14" t="str">
        <f>IF(L20="","Abu",IF(L20&lt;=G20,"Hijau",IF(L20&lt;=G20*1.1,"Kuning","Merah")))</f>
        <v>Abu</v>
      </c>
    </row>
    <row r="21" ht="15.75" customHeight="1">
      <c r="A21" s="22">
        <v>17.0</v>
      </c>
      <c r="B21" s="30" t="s">
        <v>58</v>
      </c>
      <c r="C21" s="22">
        <v>2.0</v>
      </c>
      <c r="D21" s="23" t="s">
        <v>59</v>
      </c>
      <c r="E21" s="24" t="s">
        <v>24</v>
      </c>
      <c r="F21" s="25" t="s">
        <v>117</v>
      </c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14"/>
      <c r="R21" s="14"/>
      <c r="S21" s="14"/>
      <c r="T21" s="14"/>
    </row>
    <row r="22" ht="15.75" customHeight="1">
      <c r="A22" s="12">
        <v>18.0</v>
      </c>
      <c r="B22" s="34" t="s">
        <v>60</v>
      </c>
      <c r="C22" s="12">
        <v>3.0</v>
      </c>
      <c r="D22" s="13" t="s">
        <v>61</v>
      </c>
      <c r="E22" s="14" t="s">
        <v>51</v>
      </c>
      <c r="F22" s="15" t="s">
        <v>104</v>
      </c>
      <c r="G22" s="16">
        <v>60.5</v>
      </c>
      <c r="H22" s="16">
        <v>61.0</v>
      </c>
      <c r="I22" s="16">
        <v>61.5</v>
      </c>
      <c r="J22" s="16">
        <v>62.0</v>
      </c>
      <c r="K22" s="16">
        <v>62.5</v>
      </c>
      <c r="L22" s="17">
        <v>60.3</v>
      </c>
      <c r="M22" s="26"/>
      <c r="N22" s="26"/>
      <c r="O22" s="26"/>
      <c r="P22" s="26"/>
      <c r="Q22" s="18">
        <f t="shared" ref="Q22:Q34" si="9">IFERROR(L22-G22,"")</f>
        <v>-0.2</v>
      </c>
      <c r="R22" s="19">
        <f t="shared" ref="R22:R34" si="10">IFERROR(L22/G22-1,"")</f>
        <v>-0.003305785124</v>
      </c>
      <c r="S22" s="14" t="str">
        <f t="shared" ref="S22:S29" si="11">IF(L22="","Belum Diisi",IF(L22&gt;=G22,"On Track",IF(L22&gt;=G22*0.9,"Warning","Alert")))</f>
        <v>Warning</v>
      </c>
      <c r="T22" s="14" t="str">
        <f t="shared" ref="T22:T29" si="12">IF(L22="","Abu",IF(L22&gt;=G22,"Hijau",IF(L22&gt;=G22*0.9,"Kuning","Merah")))</f>
        <v>Kuning</v>
      </c>
    </row>
    <row r="23" ht="15.75" customHeight="1">
      <c r="A23" s="22">
        <v>19.0</v>
      </c>
      <c r="B23" s="33" t="s">
        <v>63</v>
      </c>
      <c r="C23" s="22">
        <v>3.0</v>
      </c>
      <c r="D23" s="23" t="s">
        <v>64</v>
      </c>
      <c r="E23" s="24" t="s">
        <v>51</v>
      </c>
      <c r="F23" s="25" t="s">
        <v>104</v>
      </c>
      <c r="G23" s="16">
        <v>63.9</v>
      </c>
      <c r="H23" s="16">
        <v>64.1</v>
      </c>
      <c r="I23" s="16">
        <v>65.1</v>
      </c>
      <c r="J23" s="16">
        <v>66.1</v>
      </c>
      <c r="K23" s="16">
        <v>68.1</v>
      </c>
      <c r="L23" s="26"/>
      <c r="M23" s="26"/>
      <c r="N23" s="26"/>
      <c r="O23" s="26"/>
      <c r="P23" s="26"/>
      <c r="Q23" s="27">
        <f t="shared" si="9"/>
        <v>-63.9</v>
      </c>
      <c r="R23" s="28">
        <f t="shared" si="10"/>
        <v>-1</v>
      </c>
      <c r="S23" s="24" t="str">
        <f t="shared" si="11"/>
        <v>Belum Diisi</v>
      </c>
      <c r="T23" s="24" t="str">
        <f t="shared" si="12"/>
        <v>Abu</v>
      </c>
    </row>
    <row r="24" ht="15.75" customHeight="1">
      <c r="A24" s="12">
        <v>20.0</v>
      </c>
      <c r="B24" s="34" t="s">
        <v>65</v>
      </c>
      <c r="C24" s="12">
        <v>3.0</v>
      </c>
      <c r="D24" s="13" t="s">
        <v>66</v>
      </c>
      <c r="E24" s="14" t="s">
        <v>24</v>
      </c>
      <c r="F24" s="15" t="s">
        <v>118</v>
      </c>
      <c r="G24" s="16">
        <v>17.35</v>
      </c>
      <c r="H24" s="16">
        <v>18.21</v>
      </c>
      <c r="I24" s="16">
        <v>19.03</v>
      </c>
      <c r="J24" s="16">
        <v>19.81</v>
      </c>
      <c r="K24" s="16">
        <v>20.49</v>
      </c>
      <c r="L24" s="26"/>
      <c r="M24" s="26"/>
      <c r="N24" s="26"/>
      <c r="O24" s="26"/>
      <c r="P24" s="26"/>
      <c r="Q24" s="18">
        <f t="shared" si="9"/>
        <v>-17.35</v>
      </c>
      <c r="R24" s="19">
        <f t="shared" si="10"/>
        <v>-1</v>
      </c>
      <c r="S24" s="14" t="str">
        <f t="shared" si="11"/>
        <v>Belum Diisi</v>
      </c>
      <c r="T24" s="14" t="str">
        <f t="shared" si="12"/>
        <v>Abu</v>
      </c>
    </row>
    <row r="25" ht="15.75" customHeight="1">
      <c r="A25" s="22">
        <v>21.0</v>
      </c>
      <c r="B25" s="33" t="s">
        <v>67</v>
      </c>
      <c r="C25" s="22">
        <v>3.0</v>
      </c>
      <c r="D25" s="23" t="s">
        <v>68</v>
      </c>
      <c r="E25" s="24" t="s">
        <v>24</v>
      </c>
      <c r="F25" s="25" t="s">
        <v>119</v>
      </c>
      <c r="G25" s="16">
        <v>6.82</v>
      </c>
      <c r="H25" s="16">
        <v>7.13</v>
      </c>
      <c r="I25" s="16">
        <v>8.02</v>
      </c>
      <c r="J25" s="16">
        <v>9.31</v>
      </c>
      <c r="K25" s="16">
        <v>10.51</v>
      </c>
      <c r="L25" s="26"/>
      <c r="M25" s="26"/>
      <c r="N25" s="26"/>
      <c r="O25" s="26"/>
      <c r="P25" s="26"/>
      <c r="Q25" s="27">
        <f t="shared" si="9"/>
        <v>-6.82</v>
      </c>
      <c r="R25" s="28">
        <f t="shared" si="10"/>
        <v>-1</v>
      </c>
      <c r="S25" s="24" t="str">
        <f t="shared" si="11"/>
        <v>Belum Diisi</v>
      </c>
      <c r="T25" s="24" t="str">
        <f t="shared" si="12"/>
        <v>Abu</v>
      </c>
    </row>
    <row r="26" ht="15.75" customHeight="1">
      <c r="A26" s="12">
        <v>22.0</v>
      </c>
      <c r="B26" s="34" t="s">
        <v>69</v>
      </c>
      <c r="C26" s="12">
        <v>3.0</v>
      </c>
      <c r="D26" s="13" t="s">
        <v>70</v>
      </c>
      <c r="E26" s="14" t="s">
        <v>51</v>
      </c>
      <c r="F26" s="15" t="s">
        <v>104</v>
      </c>
      <c r="G26" s="16">
        <v>57.6</v>
      </c>
      <c r="H26" s="16">
        <v>57.6</v>
      </c>
      <c r="I26" s="16">
        <v>57.6</v>
      </c>
      <c r="J26" s="16">
        <v>57.6</v>
      </c>
      <c r="K26" s="16">
        <v>57.6</v>
      </c>
      <c r="L26" s="17">
        <v>70.2</v>
      </c>
      <c r="M26" s="26"/>
      <c r="N26" s="26"/>
      <c r="O26" s="26"/>
      <c r="P26" s="26"/>
      <c r="Q26" s="18">
        <f t="shared" si="9"/>
        <v>12.6</v>
      </c>
      <c r="R26" s="19">
        <f t="shared" si="10"/>
        <v>0.21875</v>
      </c>
      <c r="S26" s="14" t="str">
        <f t="shared" si="11"/>
        <v>On Track</v>
      </c>
      <c r="T26" s="14" t="str">
        <f t="shared" si="12"/>
        <v>Hijau</v>
      </c>
    </row>
    <row r="27" ht="15.75" customHeight="1">
      <c r="A27" s="22">
        <v>23.0</v>
      </c>
      <c r="B27" s="33" t="s">
        <v>71</v>
      </c>
      <c r="C27" s="22">
        <v>3.0</v>
      </c>
      <c r="D27" s="23" t="s">
        <v>72</v>
      </c>
      <c r="E27" s="24" t="s">
        <v>51</v>
      </c>
      <c r="F27" s="25" t="s">
        <v>104</v>
      </c>
      <c r="G27" s="16">
        <v>79.9</v>
      </c>
      <c r="H27" s="16">
        <v>79.9</v>
      </c>
      <c r="I27" s="16">
        <v>79.9</v>
      </c>
      <c r="J27" s="16">
        <v>79.9</v>
      </c>
      <c r="K27" s="16">
        <v>79.9</v>
      </c>
      <c r="L27" s="17">
        <v>80.3</v>
      </c>
      <c r="M27" s="26"/>
      <c r="N27" s="26"/>
      <c r="O27" s="26"/>
      <c r="P27" s="26"/>
      <c r="Q27" s="27">
        <f t="shared" si="9"/>
        <v>0.4</v>
      </c>
      <c r="R27" s="28">
        <f t="shared" si="10"/>
        <v>0.005006257822</v>
      </c>
      <c r="S27" s="24" t="str">
        <f t="shared" si="11"/>
        <v>On Track</v>
      </c>
      <c r="T27" s="24" t="str">
        <f t="shared" si="12"/>
        <v>Hijau</v>
      </c>
    </row>
    <row r="28" ht="15.75" customHeight="1">
      <c r="A28" s="12">
        <v>24.0</v>
      </c>
      <c r="B28" s="34" t="s">
        <v>73</v>
      </c>
      <c r="C28" s="12">
        <v>3.0</v>
      </c>
      <c r="D28" s="13" t="s">
        <v>74</v>
      </c>
      <c r="E28" s="14" t="s">
        <v>24</v>
      </c>
      <c r="F28" s="15" t="s">
        <v>115</v>
      </c>
      <c r="G28" s="16">
        <v>87.36</v>
      </c>
      <c r="H28" s="16">
        <v>89.27</v>
      </c>
      <c r="I28" s="16">
        <v>91.18</v>
      </c>
      <c r="J28" s="16">
        <v>93.09</v>
      </c>
      <c r="K28" s="16">
        <v>95.0</v>
      </c>
      <c r="L28" s="26"/>
      <c r="M28" s="26"/>
      <c r="N28" s="26"/>
      <c r="O28" s="26"/>
      <c r="P28" s="26"/>
      <c r="Q28" s="18">
        <f t="shared" si="9"/>
        <v>-87.36</v>
      </c>
      <c r="R28" s="19">
        <f t="shared" si="10"/>
        <v>-1</v>
      </c>
      <c r="S28" s="14" t="str">
        <f t="shared" si="11"/>
        <v>Belum Diisi</v>
      </c>
      <c r="T28" s="14" t="str">
        <f t="shared" si="12"/>
        <v>Abu</v>
      </c>
    </row>
    <row r="29" ht="15.75" customHeight="1">
      <c r="A29" s="22">
        <v>25.0</v>
      </c>
      <c r="B29" s="36" t="s">
        <v>75</v>
      </c>
      <c r="C29" s="22">
        <v>4.0</v>
      </c>
      <c r="D29" s="23" t="s">
        <v>76</v>
      </c>
      <c r="E29" s="24" t="s">
        <v>24</v>
      </c>
      <c r="F29" s="25" t="s">
        <v>104</v>
      </c>
      <c r="G29" s="16">
        <v>8.8</v>
      </c>
      <c r="H29" s="16">
        <v>10.0</v>
      </c>
      <c r="I29" s="16">
        <v>20.0</v>
      </c>
      <c r="J29" s="16">
        <v>30.0</v>
      </c>
      <c r="K29" s="16">
        <v>40.0</v>
      </c>
      <c r="L29" s="26"/>
      <c r="M29" s="26"/>
      <c r="N29" s="26"/>
      <c r="O29" s="26"/>
      <c r="P29" s="26"/>
      <c r="Q29" s="27">
        <f t="shared" si="9"/>
        <v>-8.8</v>
      </c>
      <c r="R29" s="28">
        <f t="shared" si="10"/>
        <v>-1</v>
      </c>
      <c r="S29" s="24" t="str">
        <f t="shared" si="11"/>
        <v>Belum Diisi</v>
      </c>
      <c r="T29" s="24" t="str">
        <f t="shared" si="12"/>
        <v>Abu</v>
      </c>
    </row>
    <row r="30" ht="15.75" customHeight="1">
      <c r="A30" s="12">
        <v>26.0</v>
      </c>
      <c r="B30" s="35" t="s">
        <v>78</v>
      </c>
      <c r="C30" s="12">
        <v>4.0</v>
      </c>
      <c r="D30" s="13" t="s">
        <v>79</v>
      </c>
      <c r="E30" s="14" t="s">
        <v>120</v>
      </c>
      <c r="F30" s="15" t="s">
        <v>121</v>
      </c>
      <c r="G30" s="16">
        <v>628.28</v>
      </c>
      <c r="H30" s="16">
        <v>633.8</v>
      </c>
      <c r="I30" s="16">
        <v>638.7</v>
      </c>
      <c r="J30" s="16">
        <v>642.5</v>
      </c>
      <c r="K30" s="16">
        <v>645.3</v>
      </c>
      <c r="L30" s="17">
        <v>645.0</v>
      </c>
      <c r="M30" s="26"/>
      <c r="N30" s="26"/>
      <c r="O30" s="26"/>
      <c r="P30" s="26"/>
      <c r="Q30" s="18">
        <f t="shared" si="9"/>
        <v>16.72</v>
      </c>
      <c r="R30" s="19">
        <f t="shared" si="10"/>
        <v>0.02661233845</v>
      </c>
      <c r="S30" s="14" t="str">
        <f>IF(L30="","Belum Diisi",IF(L30&lt;=G30,"On Track",IF(L30&lt;=G30*1.1,"Warning","Alert")))</f>
        <v>Warning</v>
      </c>
      <c r="T30" s="14" t="str">
        <f>IF(L30="","Abu",IF(L30&lt;=G30,"Hijau",IF(L30&lt;=G30*1.1,"Kuning","Merah")))</f>
        <v>Kuning</v>
      </c>
    </row>
    <row r="31" ht="15.75" customHeight="1">
      <c r="A31" s="22">
        <v>27.0</v>
      </c>
      <c r="B31" s="38" t="s">
        <v>81</v>
      </c>
      <c r="C31" s="22">
        <v>5.0</v>
      </c>
      <c r="D31" s="23" t="s">
        <v>82</v>
      </c>
      <c r="E31" s="24" t="s">
        <v>24</v>
      </c>
      <c r="F31" s="25" t="s">
        <v>121</v>
      </c>
      <c r="G31" s="16">
        <v>99.55</v>
      </c>
      <c r="H31" s="16">
        <v>99.64</v>
      </c>
      <c r="I31" s="16">
        <v>99.73</v>
      </c>
      <c r="J31" s="16">
        <v>99.81</v>
      </c>
      <c r="K31" s="16">
        <v>99.9</v>
      </c>
      <c r="L31" s="26"/>
      <c r="M31" s="26"/>
      <c r="N31" s="26"/>
      <c r="O31" s="26"/>
      <c r="P31" s="26"/>
      <c r="Q31" s="27">
        <f t="shared" si="9"/>
        <v>-99.55</v>
      </c>
      <c r="R31" s="28">
        <f t="shared" si="10"/>
        <v>-1</v>
      </c>
      <c r="S31" s="24" t="str">
        <f t="shared" ref="S31:S34" si="13">IF(L31="","Belum Diisi",IF(L31&gt;=G31,"On Track",IF(L31&gt;=G31*0.9,"Warning","Alert")))</f>
        <v>Belum Diisi</v>
      </c>
      <c r="T31" s="24" t="str">
        <f t="shared" ref="T31:T34" si="14">IF(L31="","Abu",IF(L31&gt;=G31,"Hijau",IF(L31&gt;=G31*0.9,"Kuning","Merah")))</f>
        <v>Abu</v>
      </c>
    </row>
    <row r="32" ht="15.75" customHeight="1">
      <c r="A32" s="12">
        <v>28.0</v>
      </c>
      <c r="B32" s="37" t="s">
        <v>84</v>
      </c>
      <c r="C32" s="12">
        <v>5.0</v>
      </c>
      <c r="D32" s="13" t="s">
        <v>85</v>
      </c>
      <c r="E32" s="14" t="s">
        <v>24</v>
      </c>
      <c r="F32" s="15" t="s">
        <v>121</v>
      </c>
      <c r="G32" s="16">
        <v>100.0</v>
      </c>
      <c r="H32" s="16">
        <v>100.0</v>
      </c>
      <c r="I32" s="16">
        <v>100.0</v>
      </c>
      <c r="J32" s="16">
        <v>100.0</v>
      </c>
      <c r="K32" s="16">
        <v>100.0</v>
      </c>
      <c r="L32" s="26"/>
      <c r="M32" s="26"/>
      <c r="N32" s="26"/>
      <c r="O32" s="26"/>
      <c r="P32" s="26"/>
      <c r="Q32" s="18">
        <f t="shared" si="9"/>
        <v>-100</v>
      </c>
      <c r="R32" s="19">
        <f t="shared" si="10"/>
        <v>-1</v>
      </c>
      <c r="S32" s="14" t="str">
        <f t="shared" si="13"/>
        <v>Belum Diisi</v>
      </c>
      <c r="T32" s="14" t="str">
        <f t="shared" si="14"/>
        <v>Abu</v>
      </c>
    </row>
    <row r="33" ht="15.75" customHeight="1">
      <c r="A33" s="22">
        <v>29.0</v>
      </c>
      <c r="B33" s="38" t="s">
        <v>86</v>
      </c>
      <c r="C33" s="22">
        <v>5.0</v>
      </c>
      <c r="D33" s="23" t="s">
        <v>87</v>
      </c>
      <c r="E33" s="24" t="s">
        <v>24</v>
      </c>
      <c r="F33" s="25" t="s">
        <v>121</v>
      </c>
      <c r="G33" s="16">
        <v>100.0</v>
      </c>
      <c r="H33" s="16">
        <v>100.0</v>
      </c>
      <c r="I33" s="16">
        <v>100.0</v>
      </c>
      <c r="J33" s="16">
        <v>100.0</v>
      </c>
      <c r="K33" s="16">
        <v>100.0</v>
      </c>
      <c r="L33" s="26"/>
      <c r="M33" s="26"/>
      <c r="N33" s="26"/>
      <c r="O33" s="26"/>
      <c r="P33" s="26"/>
      <c r="Q33" s="27">
        <f t="shared" si="9"/>
        <v>-100</v>
      </c>
      <c r="R33" s="28">
        <f t="shared" si="10"/>
        <v>-1</v>
      </c>
      <c r="S33" s="24" t="str">
        <f t="shared" si="13"/>
        <v>Belum Diisi</v>
      </c>
      <c r="T33" s="24" t="str">
        <f t="shared" si="14"/>
        <v>Abu</v>
      </c>
    </row>
    <row r="34" ht="15.75" customHeight="1">
      <c r="A34" s="12">
        <v>30.0</v>
      </c>
      <c r="B34" s="37" t="s">
        <v>88</v>
      </c>
      <c r="C34" s="12">
        <v>5.0</v>
      </c>
      <c r="D34" s="13" t="s">
        <v>89</v>
      </c>
      <c r="E34" s="14" t="s">
        <v>24</v>
      </c>
      <c r="F34" s="15" t="s">
        <v>121</v>
      </c>
      <c r="G34" s="16">
        <v>100.0</v>
      </c>
      <c r="H34" s="16">
        <v>100.0</v>
      </c>
      <c r="I34" s="16">
        <v>100.0</v>
      </c>
      <c r="J34" s="16">
        <v>100.0</v>
      </c>
      <c r="K34" s="16">
        <v>100.0</v>
      </c>
      <c r="L34" s="26"/>
      <c r="M34" s="26"/>
      <c r="N34" s="26"/>
      <c r="O34" s="26"/>
      <c r="P34" s="26"/>
      <c r="Q34" s="18">
        <f t="shared" si="9"/>
        <v>-100</v>
      </c>
      <c r="R34" s="19">
        <f t="shared" si="10"/>
        <v>-1</v>
      </c>
      <c r="S34" s="14" t="str">
        <f t="shared" si="13"/>
        <v>Belum Diisi</v>
      </c>
      <c r="T34" s="14" t="str">
        <f t="shared" si="14"/>
        <v>Abu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T1"/>
    <mergeCell ref="A2:T2"/>
    <mergeCell ref="A3:F3"/>
    <mergeCell ref="G3:K3"/>
    <mergeCell ref="L3:P3"/>
    <mergeCell ref="Q3:T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0"/>
    <col customWidth="1" min="2" max="2" width="18.0"/>
    <col customWidth="1" min="3" max="3" width="8.0"/>
    <col customWidth="1" min="4" max="4" width="26.0"/>
    <col customWidth="1" min="5" max="5" width="10.0"/>
    <col customWidth="1" min="6" max="6" width="26.0"/>
    <col customWidth="1" min="7" max="7" width="8.0"/>
    <col customWidth="1" min="8" max="8" width="24.0"/>
    <col customWidth="1" min="9" max="26" width="8.63"/>
  </cols>
  <sheetData>
    <row r="1" ht="36.0" customHeight="1">
      <c r="A1" s="6" t="s">
        <v>144</v>
      </c>
      <c r="B1" s="7"/>
      <c r="C1" s="7"/>
      <c r="D1" s="7"/>
      <c r="E1" s="7"/>
      <c r="F1" s="7"/>
      <c r="G1" s="7"/>
      <c r="H1" s="8"/>
    </row>
    <row r="2" ht="30.0" customHeight="1">
      <c r="A2" s="45" t="s">
        <v>145</v>
      </c>
      <c r="B2" s="7"/>
      <c r="C2" s="7"/>
      <c r="D2" s="7"/>
      <c r="E2" s="7"/>
      <c r="F2" s="7"/>
      <c r="G2" s="7"/>
      <c r="H2" s="8"/>
    </row>
    <row r="3" ht="36.0" customHeight="1">
      <c r="A3" s="10" t="s">
        <v>128</v>
      </c>
      <c r="B3" s="10" t="s">
        <v>95</v>
      </c>
      <c r="C3" s="10" t="s">
        <v>129</v>
      </c>
      <c r="D3" s="10" t="s">
        <v>1</v>
      </c>
      <c r="E3" s="10" t="s">
        <v>0</v>
      </c>
      <c r="F3" s="10" t="s">
        <v>146</v>
      </c>
      <c r="G3" s="10" t="s">
        <v>147</v>
      </c>
      <c r="H3" s="10" t="s">
        <v>148</v>
      </c>
    </row>
    <row r="4" ht="21.75" customHeight="1">
      <c r="A4" s="22">
        <v>1.0</v>
      </c>
      <c r="B4" s="25" t="s">
        <v>117</v>
      </c>
      <c r="C4" s="22">
        <v>2.0</v>
      </c>
      <c r="D4" s="23" t="s">
        <v>59</v>
      </c>
      <c r="E4" s="30" t="s">
        <v>58</v>
      </c>
      <c r="F4" s="46"/>
      <c r="G4" s="24" t="s">
        <v>108</v>
      </c>
      <c r="H4" s="29"/>
    </row>
    <row r="5" ht="21.75" customHeight="1">
      <c r="A5" s="12">
        <v>2.0</v>
      </c>
      <c r="B5" s="15" t="s">
        <v>116</v>
      </c>
      <c r="C5" s="12">
        <v>2.0</v>
      </c>
      <c r="D5" s="13" t="s">
        <v>42</v>
      </c>
      <c r="E5" s="31" t="s">
        <v>41</v>
      </c>
      <c r="F5" s="46"/>
      <c r="G5" s="14" t="s">
        <v>105</v>
      </c>
      <c r="H5" s="29"/>
    </row>
    <row r="6" ht="21.75" customHeight="1">
      <c r="A6" s="22">
        <v>3.0</v>
      </c>
      <c r="B6" s="25" t="s">
        <v>116</v>
      </c>
      <c r="C6" s="22">
        <v>2.0</v>
      </c>
      <c r="D6" s="23" t="s">
        <v>50</v>
      </c>
      <c r="E6" s="30" t="s">
        <v>49</v>
      </c>
      <c r="F6" s="46"/>
      <c r="G6" s="24" t="s">
        <v>105</v>
      </c>
      <c r="H6" s="29"/>
    </row>
    <row r="7" ht="21.75" customHeight="1">
      <c r="A7" s="12">
        <v>4.0</v>
      </c>
      <c r="B7" s="15" t="s">
        <v>116</v>
      </c>
      <c r="C7" s="12">
        <v>2.0</v>
      </c>
      <c r="D7" s="13" t="s">
        <v>53</v>
      </c>
      <c r="E7" s="31" t="s">
        <v>52</v>
      </c>
      <c r="F7" s="46"/>
      <c r="G7" s="14" t="s">
        <v>108</v>
      </c>
      <c r="H7" s="29"/>
    </row>
    <row r="8" ht="21.75" customHeight="1">
      <c r="A8" s="22">
        <v>5.0</v>
      </c>
      <c r="B8" s="25" t="s">
        <v>104</v>
      </c>
      <c r="C8" s="22">
        <v>1.0</v>
      </c>
      <c r="D8" s="23" t="s">
        <v>16</v>
      </c>
      <c r="E8" s="21" t="s">
        <v>15</v>
      </c>
      <c r="F8" s="46"/>
      <c r="G8" s="24" t="s">
        <v>105</v>
      </c>
      <c r="H8" s="29"/>
    </row>
    <row r="9" ht="21.75" customHeight="1">
      <c r="A9" s="12">
        <v>6.0</v>
      </c>
      <c r="B9" s="15" t="s">
        <v>104</v>
      </c>
      <c r="C9" s="12">
        <v>1.0</v>
      </c>
      <c r="D9" s="13" t="s">
        <v>20</v>
      </c>
      <c r="E9" s="11" t="s">
        <v>19</v>
      </c>
      <c r="F9" s="46"/>
      <c r="G9" s="14" t="s">
        <v>105</v>
      </c>
      <c r="H9" s="29"/>
    </row>
    <row r="10" ht="21.75" customHeight="1">
      <c r="A10" s="22">
        <v>7.0</v>
      </c>
      <c r="B10" s="25" t="s">
        <v>104</v>
      </c>
      <c r="C10" s="22">
        <v>1.0</v>
      </c>
      <c r="D10" s="23" t="s">
        <v>23</v>
      </c>
      <c r="E10" s="21" t="s">
        <v>22</v>
      </c>
      <c r="F10" s="46"/>
      <c r="G10" s="24" t="s">
        <v>108</v>
      </c>
      <c r="H10" s="29"/>
    </row>
    <row r="11" ht="21.75" customHeight="1">
      <c r="A11" s="12">
        <v>8.0</v>
      </c>
      <c r="B11" s="15" t="s">
        <v>104</v>
      </c>
      <c r="C11" s="12">
        <v>3.0</v>
      </c>
      <c r="D11" s="13" t="s">
        <v>61</v>
      </c>
      <c r="E11" s="34" t="s">
        <v>60</v>
      </c>
      <c r="F11" s="46"/>
      <c r="G11" s="14" t="s">
        <v>108</v>
      </c>
      <c r="H11" s="29"/>
    </row>
    <row r="12" ht="21.75" customHeight="1">
      <c r="A12" s="22">
        <v>9.0</v>
      </c>
      <c r="B12" s="25" t="s">
        <v>104</v>
      </c>
      <c r="C12" s="22">
        <v>3.0</v>
      </c>
      <c r="D12" s="23" t="s">
        <v>64</v>
      </c>
      <c r="E12" s="33" t="s">
        <v>63</v>
      </c>
      <c r="F12" s="46"/>
      <c r="G12" s="24" t="s">
        <v>108</v>
      </c>
      <c r="H12" s="29"/>
    </row>
    <row r="13" ht="21.75" customHeight="1">
      <c r="A13" s="12">
        <v>10.0</v>
      </c>
      <c r="B13" s="15" t="s">
        <v>104</v>
      </c>
      <c r="C13" s="12">
        <v>3.0</v>
      </c>
      <c r="D13" s="13" t="s">
        <v>70</v>
      </c>
      <c r="E13" s="34" t="s">
        <v>69</v>
      </c>
      <c r="F13" s="46"/>
      <c r="G13" s="14" t="s">
        <v>108</v>
      </c>
      <c r="H13" s="29"/>
    </row>
    <row r="14" ht="21.75" customHeight="1">
      <c r="A14" s="22">
        <v>11.0</v>
      </c>
      <c r="B14" s="25" t="s">
        <v>104</v>
      </c>
      <c r="C14" s="22">
        <v>3.0</v>
      </c>
      <c r="D14" s="23" t="s">
        <v>72</v>
      </c>
      <c r="E14" s="33" t="s">
        <v>71</v>
      </c>
      <c r="F14" s="46"/>
      <c r="G14" s="24" t="s">
        <v>108</v>
      </c>
      <c r="H14" s="29"/>
    </row>
    <row r="15" ht="21.75" customHeight="1">
      <c r="A15" s="12">
        <v>12.0</v>
      </c>
      <c r="B15" s="15" t="s">
        <v>104</v>
      </c>
      <c r="C15" s="12">
        <v>4.0</v>
      </c>
      <c r="D15" s="13" t="s">
        <v>76</v>
      </c>
      <c r="E15" s="35" t="s">
        <v>75</v>
      </c>
      <c r="F15" s="46"/>
      <c r="G15" s="14" t="s">
        <v>108</v>
      </c>
      <c r="H15" s="29"/>
    </row>
    <row r="16" ht="21.75" customHeight="1">
      <c r="A16" s="22">
        <v>13.0</v>
      </c>
      <c r="B16" s="25" t="s">
        <v>119</v>
      </c>
      <c r="C16" s="22">
        <v>3.0</v>
      </c>
      <c r="D16" s="23" t="s">
        <v>68</v>
      </c>
      <c r="E16" s="33" t="s">
        <v>67</v>
      </c>
      <c r="F16" s="46"/>
      <c r="G16" s="24" t="s">
        <v>108</v>
      </c>
      <c r="H16" s="29"/>
    </row>
    <row r="17" ht="21.75" customHeight="1">
      <c r="A17" s="12">
        <v>14.0</v>
      </c>
      <c r="B17" s="15" t="s">
        <v>115</v>
      </c>
      <c r="C17" s="12">
        <v>2.0</v>
      </c>
      <c r="D17" s="13" t="s">
        <v>34</v>
      </c>
      <c r="E17" s="31" t="s">
        <v>33</v>
      </c>
      <c r="F17" s="46"/>
      <c r="G17" s="14" t="s">
        <v>105</v>
      </c>
      <c r="H17" s="29"/>
    </row>
    <row r="18" ht="21.75" customHeight="1">
      <c r="A18" s="22">
        <v>15.0</v>
      </c>
      <c r="B18" s="25" t="s">
        <v>115</v>
      </c>
      <c r="C18" s="22">
        <v>2.0</v>
      </c>
      <c r="D18" s="23" t="s">
        <v>36</v>
      </c>
      <c r="E18" s="30" t="s">
        <v>35</v>
      </c>
      <c r="F18" s="46"/>
      <c r="G18" s="24" t="s">
        <v>105</v>
      </c>
      <c r="H18" s="29"/>
    </row>
    <row r="19" ht="21.75" customHeight="1">
      <c r="A19" s="12">
        <v>16.0</v>
      </c>
      <c r="B19" s="15" t="s">
        <v>115</v>
      </c>
      <c r="C19" s="12">
        <v>2.0</v>
      </c>
      <c r="D19" s="13" t="s">
        <v>39</v>
      </c>
      <c r="E19" s="31" t="s">
        <v>38</v>
      </c>
      <c r="F19" s="46"/>
      <c r="G19" s="14" t="s">
        <v>105</v>
      </c>
      <c r="H19" s="29"/>
    </row>
    <row r="20" ht="21.75" customHeight="1">
      <c r="A20" s="22">
        <v>17.0</v>
      </c>
      <c r="B20" s="25" t="s">
        <v>115</v>
      </c>
      <c r="C20" s="22">
        <v>3.0</v>
      </c>
      <c r="D20" s="23" t="s">
        <v>74</v>
      </c>
      <c r="E20" s="33" t="s">
        <v>73</v>
      </c>
      <c r="F20" s="46"/>
      <c r="G20" s="24" t="s">
        <v>108</v>
      </c>
      <c r="H20" s="29"/>
    </row>
    <row r="21" ht="21.75" customHeight="1">
      <c r="A21" s="12">
        <v>18.0</v>
      </c>
      <c r="B21" s="15" t="s">
        <v>110</v>
      </c>
      <c r="C21" s="12">
        <v>2.0</v>
      </c>
      <c r="D21" s="13" t="s">
        <v>109</v>
      </c>
      <c r="E21" s="31" t="s">
        <v>25</v>
      </c>
      <c r="F21" s="46"/>
      <c r="G21" s="14" t="s">
        <v>108</v>
      </c>
      <c r="H21" s="29"/>
    </row>
    <row r="22" ht="21.75" customHeight="1">
      <c r="A22" s="22">
        <v>19.0</v>
      </c>
      <c r="B22" s="25" t="s">
        <v>110</v>
      </c>
      <c r="C22" s="22">
        <v>2.0</v>
      </c>
      <c r="D22" s="23" t="s">
        <v>30</v>
      </c>
      <c r="E22" s="30" t="s">
        <v>29</v>
      </c>
      <c r="F22" s="46"/>
      <c r="G22" s="24" t="s">
        <v>108</v>
      </c>
      <c r="H22" s="29"/>
    </row>
    <row r="23" ht="21.75" customHeight="1">
      <c r="A23" s="12">
        <v>20.0</v>
      </c>
      <c r="B23" s="15" t="s">
        <v>114</v>
      </c>
      <c r="C23" s="12">
        <v>2.0</v>
      </c>
      <c r="D23" s="13" t="s">
        <v>32</v>
      </c>
      <c r="E23" s="31" t="s">
        <v>31</v>
      </c>
      <c r="F23" s="46"/>
      <c r="G23" s="14" t="s">
        <v>108</v>
      </c>
      <c r="H23" s="29"/>
    </row>
    <row r="24" ht="21.75" customHeight="1">
      <c r="A24" s="22">
        <v>21.0</v>
      </c>
      <c r="B24" s="25" t="s">
        <v>114</v>
      </c>
      <c r="C24" s="22">
        <v>2.0</v>
      </c>
      <c r="D24" s="23" t="s">
        <v>44</v>
      </c>
      <c r="E24" s="30" t="s">
        <v>43</v>
      </c>
      <c r="F24" s="46"/>
      <c r="G24" s="24" t="s">
        <v>108</v>
      </c>
      <c r="H24" s="29"/>
    </row>
    <row r="25" ht="21.75" customHeight="1">
      <c r="A25" s="12">
        <v>22.0</v>
      </c>
      <c r="B25" s="15" t="s">
        <v>114</v>
      </c>
      <c r="C25" s="12">
        <v>2.0</v>
      </c>
      <c r="D25" s="13" t="s">
        <v>46</v>
      </c>
      <c r="E25" s="31" t="s">
        <v>45</v>
      </c>
      <c r="F25" s="46"/>
      <c r="G25" s="14" t="s">
        <v>105</v>
      </c>
      <c r="H25" s="29"/>
    </row>
    <row r="26" ht="21.75" customHeight="1">
      <c r="A26" s="22">
        <v>23.0</v>
      </c>
      <c r="B26" s="25" t="s">
        <v>114</v>
      </c>
      <c r="C26" s="22">
        <v>2.0</v>
      </c>
      <c r="D26" s="23" t="s">
        <v>48</v>
      </c>
      <c r="E26" s="30" t="s">
        <v>47</v>
      </c>
      <c r="F26" s="46"/>
      <c r="G26" s="24" t="s">
        <v>108</v>
      </c>
      <c r="H26" s="29"/>
    </row>
    <row r="27" ht="21.75" customHeight="1">
      <c r="A27" s="12">
        <v>24.0</v>
      </c>
      <c r="B27" s="15" t="s">
        <v>114</v>
      </c>
      <c r="C27" s="12">
        <v>2.0</v>
      </c>
      <c r="D27" s="13" t="s">
        <v>56</v>
      </c>
      <c r="E27" s="31" t="s">
        <v>55</v>
      </c>
      <c r="F27" s="46"/>
      <c r="G27" s="14" t="s">
        <v>105</v>
      </c>
      <c r="H27" s="29"/>
    </row>
    <row r="28" ht="21.75" customHeight="1">
      <c r="A28" s="22">
        <v>25.0</v>
      </c>
      <c r="B28" s="25" t="s">
        <v>118</v>
      </c>
      <c r="C28" s="22">
        <v>3.0</v>
      </c>
      <c r="D28" s="23" t="s">
        <v>66</v>
      </c>
      <c r="E28" s="33" t="s">
        <v>65</v>
      </c>
      <c r="F28" s="46"/>
      <c r="G28" s="24" t="s">
        <v>108</v>
      </c>
      <c r="H28" s="29"/>
    </row>
    <row r="29" ht="21.75" customHeight="1">
      <c r="A29" s="12">
        <v>26.0</v>
      </c>
      <c r="B29" s="15" t="s">
        <v>121</v>
      </c>
      <c r="C29" s="12">
        <v>4.0</v>
      </c>
      <c r="D29" s="13" t="s">
        <v>79</v>
      </c>
      <c r="E29" s="35" t="s">
        <v>78</v>
      </c>
      <c r="F29" s="46"/>
      <c r="G29" s="14" t="s">
        <v>105</v>
      </c>
      <c r="H29" s="29"/>
    </row>
    <row r="30" ht="21.75" customHeight="1">
      <c r="A30" s="22">
        <v>27.0</v>
      </c>
      <c r="B30" s="25" t="s">
        <v>121</v>
      </c>
      <c r="C30" s="22">
        <v>5.0</v>
      </c>
      <c r="D30" s="23" t="s">
        <v>82</v>
      </c>
      <c r="E30" s="38" t="s">
        <v>81</v>
      </c>
      <c r="F30" s="46"/>
      <c r="G30" s="24" t="s">
        <v>108</v>
      </c>
      <c r="H30" s="29"/>
    </row>
    <row r="31" ht="21.75" customHeight="1">
      <c r="A31" s="12">
        <v>28.0</v>
      </c>
      <c r="B31" s="15" t="s">
        <v>121</v>
      </c>
      <c r="C31" s="12">
        <v>5.0</v>
      </c>
      <c r="D31" s="13" t="s">
        <v>85</v>
      </c>
      <c r="E31" s="37" t="s">
        <v>84</v>
      </c>
      <c r="F31" s="46"/>
      <c r="G31" s="14" t="s">
        <v>108</v>
      </c>
      <c r="H31" s="29"/>
    </row>
    <row r="32" ht="21.75" customHeight="1">
      <c r="A32" s="22">
        <v>29.0</v>
      </c>
      <c r="B32" s="25" t="s">
        <v>121</v>
      </c>
      <c r="C32" s="22">
        <v>5.0</v>
      </c>
      <c r="D32" s="23" t="s">
        <v>87</v>
      </c>
      <c r="E32" s="38" t="s">
        <v>86</v>
      </c>
      <c r="F32" s="46"/>
      <c r="G32" s="24" t="s">
        <v>108</v>
      </c>
      <c r="H32" s="29"/>
    </row>
    <row r="33" ht="21.75" customHeight="1">
      <c r="A33" s="12">
        <v>30.0</v>
      </c>
      <c r="B33" s="15" t="s">
        <v>121</v>
      </c>
      <c r="C33" s="12">
        <v>5.0</v>
      </c>
      <c r="D33" s="13" t="s">
        <v>89</v>
      </c>
      <c r="E33" s="37" t="s">
        <v>88</v>
      </c>
      <c r="F33" s="46"/>
      <c r="G33" s="14" t="s">
        <v>108</v>
      </c>
      <c r="H33" s="29"/>
    </row>
    <row r="34" ht="36.0" customHeight="1">
      <c r="A34" s="47" t="s">
        <v>149</v>
      </c>
      <c r="B34" s="7"/>
      <c r="C34" s="7"/>
      <c r="D34" s="7"/>
      <c r="E34" s="7"/>
      <c r="F34" s="7"/>
      <c r="G34" s="7"/>
      <c r="H34" s="8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34:H34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0"/>
    <col customWidth="1" min="2" max="2" width="18.0"/>
    <col customWidth="1" min="3" max="3" width="8.0"/>
    <col customWidth="1" min="4" max="4" width="26.0"/>
    <col customWidth="1" min="5" max="5" width="10.0"/>
    <col customWidth="1" min="6" max="6" width="8.0"/>
    <col customWidth="1" min="7" max="7" width="38.0"/>
    <col customWidth="1" min="8" max="8" width="20.0"/>
    <col customWidth="1" min="9" max="9" width="24.0"/>
    <col customWidth="1" min="10" max="10" width="20.0"/>
    <col customWidth="1" min="11" max="26" width="8.63"/>
  </cols>
  <sheetData>
    <row r="1" ht="36.0" customHeight="1">
      <c r="A1" s="6" t="s">
        <v>150</v>
      </c>
      <c r="B1" s="7"/>
      <c r="C1" s="7"/>
      <c r="D1" s="7"/>
      <c r="E1" s="7"/>
      <c r="F1" s="7"/>
      <c r="G1" s="7"/>
      <c r="H1" s="7"/>
      <c r="I1" s="7"/>
      <c r="J1" s="8"/>
    </row>
    <row r="2" ht="30.0" customHeight="1">
      <c r="A2" s="45" t="s">
        <v>151</v>
      </c>
      <c r="B2" s="7"/>
      <c r="C2" s="7"/>
      <c r="D2" s="7"/>
      <c r="E2" s="7"/>
      <c r="F2" s="7"/>
      <c r="G2" s="7"/>
      <c r="H2" s="7"/>
      <c r="I2" s="7"/>
      <c r="J2" s="8"/>
    </row>
    <row r="3" ht="45.75" customHeight="1">
      <c r="A3" s="10" t="s">
        <v>128</v>
      </c>
      <c r="B3" s="10" t="s">
        <v>95</v>
      </c>
      <c r="C3" s="10" t="s">
        <v>129</v>
      </c>
      <c r="D3" s="10" t="s">
        <v>1</v>
      </c>
      <c r="E3" s="10" t="s">
        <v>0</v>
      </c>
      <c r="F3" s="10" t="s">
        <v>28</v>
      </c>
      <c r="G3" s="10" t="s">
        <v>152</v>
      </c>
      <c r="H3" s="10" t="s">
        <v>153</v>
      </c>
      <c r="I3" s="10" t="s">
        <v>103</v>
      </c>
      <c r="J3" s="10" t="s">
        <v>148</v>
      </c>
    </row>
    <row r="4" ht="21.75" customHeight="1">
      <c r="A4" s="12">
        <v>1.0</v>
      </c>
      <c r="B4" s="15" t="s">
        <v>104</v>
      </c>
      <c r="C4" s="12">
        <v>1.0</v>
      </c>
      <c r="D4" s="13" t="s">
        <v>16</v>
      </c>
      <c r="E4" s="11" t="s">
        <v>15</v>
      </c>
      <c r="F4" s="12">
        <v>2025.0</v>
      </c>
      <c r="G4" s="13" t="s">
        <v>154</v>
      </c>
      <c r="H4" s="48" t="s">
        <v>155</v>
      </c>
      <c r="I4" s="49" t="s">
        <v>156</v>
      </c>
      <c r="J4" s="13" t="s">
        <v>157</v>
      </c>
    </row>
    <row r="5" ht="21.75" customHeight="1">
      <c r="A5" s="22">
        <v>2.0</v>
      </c>
      <c r="B5" s="25" t="s">
        <v>104</v>
      </c>
      <c r="C5" s="22">
        <v>1.0</v>
      </c>
      <c r="D5" s="23" t="s">
        <v>16</v>
      </c>
      <c r="E5" s="21" t="s">
        <v>15</v>
      </c>
      <c r="F5" s="22">
        <v>2025.0</v>
      </c>
      <c r="G5" s="23" t="s">
        <v>158</v>
      </c>
      <c r="H5" s="48" t="s">
        <v>155</v>
      </c>
      <c r="I5" s="50" t="s">
        <v>159</v>
      </c>
      <c r="J5" s="23" t="s">
        <v>157</v>
      </c>
    </row>
    <row r="6" ht="21.75" customHeight="1">
      <c r="A6" s="12">
        <v>3.0</v>
      </c>
      <c r="B6" s="15" t="s">
        <v>104</v>
      </c>
      <c r="C6" s="12">
        <v>1.0</v>
      </c>
      <c r="D6" s="13" t="s">
        <v>16</v>
      </c>
      <c r="E6" s="11" t="s">
        <v>15</v>
      </c>
      <c r="F6" s="12">
        <v>2025.0</v>
      </c>
      <c r="G6" s="13" t="s">
        <v>160</v>
      </c>
      <c r="H6" s="51" t="s">
        <v>161</v>
      </c>
      <c r="I6" s="49" t="s">
        <v>162</v>
      </c>
      <c r="J6" s="13" t="s">
        <v>157</v>
      </c>
    </row>
    <row r="7" ht="21.75" customHeight="1">
      <c r="A7" s="22">
        <v>4.0</v>
      </c>
      <c r="B7" s="25" t="s">
        <v>104</v>
      </c>
      <c r="C7" s="22">
        <v>1.0</v>
      </c>
      <c r="D7" s="23" t="s">
        <v>23</v>
      </c>
      <c r="E7" s="21" t="s">
        <v>22</v>
      </c>
      <c r="F7" s="22">
        <v>2025.0</v>
      </c>
      <c r="G7" s="23" t="s">
        <v>163</v>
      </c>
      <c r="H7" s="48" t="s">
        <v>155</v>
      </c>
      <c r="I7" s="50" t="s">
        <v>164</v>
      </c>
      <c r="J7" s="23" t="s">
        <v>157</v>
      </c>
    </row>
    <row r="8" ht="21.75" customHeight="1">
      <c r="A8" s="12">
        <v>5.0</v>
      </c>
      <c r="B8" s="15" t="s">
        <v>104</v>
      </c>
      <c r="C8" s="12">
        <v>1.0</v>
      </c>
      <c r="D8" s="13" t="s">
        <v>23</v>
      </c>
      <c r="E8" s="11" t="s">
        <v>22</v>
      </c>
      <c r="F8" s="12">
        <v>2025.0</v>
      </c>
      <c r="G8" s="13" t="s">
        <v>165</v>
      </c>
      <c r="H8" s="48" t="s">
        <v>155</v>
      </c>
      <c r="I8" s="49" t="s">
        <v>166</v>
      </c>
      <c r="J8" s="13" t="s">
        <v>157</v>
      </c>
    </row>
    <row r="9" ht="21.75" customHeight="1">
      <c r="A9" s="22">
        <v>6.0</v>
      </c>
      <c r="B9" s="25" t="s">
        <v>115</v>
      </c>
      <c r="C9" s="22">
        <v>2.0</v>
      </c>
      <c r="D9" s="23" t="s">
        <v>34</v>
      </c>
      <c r="E9" s="30" t="s">
        <v>33</v>
      </c>
      <c r="F9" s="22">
        <v>2025.0</v>
      </c>
      <c r="G9" s="23" t="s">
        <v>167</v>
      </c>
      <c r="H9" s="48" t="s">
        <v>155</v>
      </c>
      <c r="I9" s="50" t="s">
        <v>168</v>
      </c>
      <c r="J9" s="23" t="s">
        <v>157</v>
      </c>
    </row>
    <row r="10" ht="21.75" customHeight="1">
      <c r="A10" s="12">
        <v>7.0</v>
      </c>
      <c r="B10" s="15" t="s">
        <v>115</v>
      </c>
      <c r="C10" s="12">
        <v>2.0</v>
      </c>
      <c r="D10" s="13" t="s">
        <v>34</v>
      </c>
      <c r="E10" s="31" t="s">
        <v>33</v>
      </c>
      <c r="F10" s="12">
        <v>2025.0</v>
      </c>
      <c r="G10" s="13" t="s">
        <v>169</v>
      </c>
      <c r="H10" s="48" t="s">
        <v>155</v>
      </c>
      <c r="I10" s="49" t="s">
        <v>170</v>
      </c>
      <c r="J10" s="13" t="s">
        <v>157</v>
      </c>
    </row>
    <row r="11" ht="21.75" customHeight="1">
      <c r="A11" s="22">
        <v>8.0</v>
      </c>
      <c r="B11" s="25" t="s">
        <v>115</v>
      </c>
      <c r="C11" s="22">
        <v>2.0</v>
      </c>
      <c r="D11" s="23" t="s">
        <v>34</v>
      </c>
      <c r="E11" s="30" t="s">
        <v>33</v>
      </c>
      <c r="F11" s="22">
        <v>2025.0</v>
      </c>
      <c r="G11" s="23" t="s">
        <v>171</v>
      </c>
      <c r="H11" s="51" t="s">
        <v>161</v>
      </c>
      <c r="I11" s="50" t="s">
        <v>172</v>
      </c>
      <c r="J11" s="23" t="s">
        <v>157</v>
      </c>
    </row>
    <row r="12" ht="21.75" customHeight="1">
      <c r="A12" s="12">
        <v>9.0</v>
      </c>
      <c r="B12" s="15" t="s">
        <v>104</v>
      </c>
      <c r="C12" s="12">
        <v>3.0</v>
      </c>
      <c r="D12" s="13" t="s">
        <v>61</v>
      </c>
      <c r="E12" s="34" t="s">
        <v>60</v>
      </c>
      <c r="F12" s="12">
        <v>2025.0</v>
      </c>
      <c r="G12" s="13" t="s">
        <v>173</v>
      </c>
      <c r="H12" s="48" t="s">
        <v>155</v>
      </c>
      <c r="I12" s="49" t="s">
        <v>174</v>
      </c>
      <c r="J12" s="13" t="s">
        <v>157</v>
      </c>
    </row>
    <row r="13" ht="21.75" customHeight="1">
      <c r="A13" s="22">
        <v>10.0</v>
      </c>
      <c r="B13" s="25" t="s">
        <v>104</v>
      </c>
      <c r="C13" s="22">
        <v>3.0</v>
      </c>
      <c r="D13" s="23" t="s">
        <v>61</v>
      </c>
      <c r="E13" s="33" t="s">
        <v>60</v>
      </c>
      <c r="F13" s="22">
        <v>2025.0</v>
      </c>
      <c r="G13" s="23" t="s">
        <v>175</v>
      </c>
      <c r="H13" s="51" t="s">
        <v>161</v>
      </c>
      <c r="I13" s="50" t="s">
        <v>176</v>
      </c>
      <c r="J13" s="23" t="s">
        <v>115</v>
      </c>
    </row>
    <row r="14" ht="21.75" customHeight="1">
      <c r="A14" s="12">
        <v>11.0</v>
      </c>
      <c r="B14" s="15" t="s">
        <v>121</v>
      </c>
      <c r="C14" s="12">
        <v>5.0</v>
      </c>
      <c r="D14" s="13" t="s">
        <v>82</v>
      </c>
      <c r="E14" s="37" t="s">
        <v>81</v>
      </c>
      <c r="F14" s="12">
        <v>2025.0</v>
      </c>
      <c r="G14" s="13" t="s">
        <v>177</v>
      </c>
      <c r="H14" s="48" t="s">
        <v>155</v>
      </c>
      <c r="I14" s="49" t="s">
        <v>178</v>
      </c>
      <c r="J14" s="13" t="s">
        <v>157</v>
      </c>
    </row>
    <row r="15" ht="21.75" customHeight="1">
      <c r="A15" s="22">
        <v>12.0</v>
      </c>
      <c r="B15" s="25" t="s">
        <v>121</v>
      </c>
      <c r="C15" s="22">
        <v>5.0</v>
      </c>
      <c r="D15" s="23" t="s">
        <v>82</v>
      </c>
      <c r="E15" s="38" t="s">
        <v>81</v>
      </c>
      <c r="F15" s="22">
        <v>2025.0</v>
      </c>
      <c r="G15" s="23" t="s">
        <v>179</v>
      </c>
      <c r="H15" s="48" t="s">
        <v>155</v>
      </c>
      <c r="I15" s="50" t="s">
        <v>180</v>
      </c>
      <c r="J15" s="23" t="s">
        <v>157</v>
      </c>
    </row>
    <row r="16" ht="21.75" customHeight="1">
      <c r="A16" s="12">
        <v>13.0</v>
      </c>
      <c r="B16" s="15" t="s">
        <v>121</v>
      </c>
      <c r="C16" s="12">
        <v>5.0</v>
      </c>
      <c r="D16" s="13" t="s">
        <v>82</v>
      </c>
      <c r="E16" s="37" t="s">
        <v>81</v>
      </c>
      <c r="F16" s="12">
        <v>2025.0</v>
      </c>
      <c r="G16" s="13" t="s">
        <v>181</v>
      </c>
      <c r="H16" s="48" t="s">
        <v>155</v>
      </c>
      <c r="I16" s="49" t="s">
        <v>182</v>
      </c>
      <c r="J16" s="13" t="s">
        <v>115</v>
      </c>
    </row>
    <row r="17" ht="21.75" customHeight="1">
      <c r="A17" s="52"/>
      <c r="B17" s="52"/>
      <c r="C17" s="52"/>
      <c r="D17" s="52"/>
      <c r="E17" s="52"/>
      <c r="F17" s="52"/>
      <c r="G17" s="52"/>
      <c r="H17" s="53"/>
      <c r="I17" s="52"/>
      <c r="J17" s="52"/>
    </row>
    <row r="18" ht="21.75" customHeight="1">
      <c r="A18" s="54"/>
      <c r="B18" s="54"/>
      <c r="C18" s="54"/>
      <c r="D18" s="54"/>
      <c r="E18" s="54"/>
      <c r="F18" s="54"/>
      <c r="G18" s="54"/>
      <c r="H18" s="53"/>
      <c r="I18" s="54"/>
      <c r="J18" s="54"/>
    </row>
    <row r="19" ht="21.75" customHeight="1">
      <c r="A19" s="52"/>
      <c r="B19" s="52"/>
      <c r="C19" s="52"/>
      <c r="D19" s="52"/>
      <c r="E19" s="52"/>
      <c r="F19" s="52"/>
      <c r="G19" s="52"/>
      <c r="H19" s="53"/>
      <c r="I19" s="52"/>
      <c r="J19" s="52"/>
    </row>
    <row r="20" ht="21.75" customHeight="1">
      <c r="A20" s="54"/>
      <c r="B20" s="54"/>
      <c r="C20" s="54"/>
      <c r="D20" s="54"/>
      <c r="E20" s="54"/>
      <c r="F20" s="54"/>
      <c r="G20" s="54"/>
      <c r="H20" s="53"/>
      <c r="I20" s="54"/>
      <c r="J20" s="54"/>
    </row>
    <row r="21" ht="21.75" customHeight="1">
      <c r="A21" s="52"/>
      <c r="B21" s="52"/>
      <c r="C21" s="52"/>
      <c r="D21" s="52"/>
      <c r="E21" s="52"/>
      <c r="F21" s="52"/>
      <c r="G21" s="52"/>
      <c r="H21" s="53"/>
      <c r="I21" s="52"/>
      <c r="J21" s="52"/>
    </row>
    <row r="22" ht="21.75" customHeight="1">
      <c r="A22" s="54"/>
      <c r="B22" s="54"/>
      <c r="C22" s="54"/>
      <c r="D22" s="54"/>
      <c r="E22" s="54"/>
      <c r="F22" s="54"/>
      <c r="G22" s="54"/>
      <c r="H22" s="53"/>
      <c r="I22" s="54"/>
      <c r="J22" s="54"/>
    </row>
    <row r="23" ht="21.75" customHeight="1">
      <c r="A23" s="52"/>
      <c r="B23" s="52"/>
      <c r="C23" s="52"/>
      <c r="D23" s="52"/>
      <c r="E23" s="52"/>
      <c r="F23" s="52"/>
      <c r="G23" s="52"/>
      <c r="H23" s="53"/>
      <c r="I23" s="52"/>
      <c r="J23" s="52"/>
    </row>
    <row r="24" ht="21.75" customHeight="1">
      <c r="A24" s="54"/>
      <c r="B24" s="54"/>
      <c r="C24" s="54"/>
      <c r="D24" s="54"/>
      <c r="E24" s="54"/>
      <c r="F24" s="54"/>
      <c r="G24" s="54"/>
      <c r="H24" s="53"/>
      <c r="I24" s="54"/>
      <c r="J24" s="54"/>
    </row>
    <row r="25" ht="21.75" customHeight="1">
      <c r="A25" s="52"/>
      <c r="B25" s="52"/>
      <c r="C25" s="52"/>
      <c r="D25" s="52"/>
      <c r="E25" s="52"/>
      <c r="F25" s="52"/>
      <c r="G25" s="52"/>
      <c r="H25" s="53"/>
      <c r="I25" s="52"/>
      <c r="J25" s="52"/>
    </row>
    <row r="26" ht="21.75" customHeight="1">
      <c r="A26" s="54"/>
      <c r="B26" s="54"/>
      <c r="C26" s="54"/>
      <c r="D26" s="54"/>
      <c r="E26" s="54"/>
      <c r="F26" s="54"/>
      <c r="G26" s="54"/>
      <c r="H26" s="53"/>
      <c r="I26" s="54"/>
      <c r="J26" s="54"/>
    </row>
    <row r="27" ht="21.75" customHeight="1">
      <c r="A27" s="52"/>
      <c r="B27" s="52"/>
      <c r="C27" s="52"/>
      <c r="D27" s="52"/>
      <c r="E27" s="52"/>
      <c r="F27" s="52"/>
      <c r="G27" s="52"/>
      <c r="H27" s="53"/>
      <c r="I27" s="52"/>
      <c r="J27" s="52"/>
    </row>
    <row r="28" ht="21.75" customHeight="1">
      <c r="A28" s="54"/>
      <c r="B28" s="54"/>
      <c r="C28" s="54"/>
      <c r="D28" s="54"/>
      <c r="E28" s="54"/>
      <c r="F28" s="54"/>
      <c r="G28" s="54"/>
      <c r="H28" s="53"/>
      <c r="I28" s="54"/>
      <c r="J28" s="54"/>
    </row>
    <row r="29" ht="21.75" customHeight="1">
      <c r="A29" s="52"/>
      <c r="B29" s="52"/>
      <c r="C29" s="52"/>
      <c r="D29" s="52"/>
      <c r="E29" s="52"/>
      <c r="F29" s="52"/>
      <c r="G29" s="52"/>
      <c r="H29" s="53"/>
      <c r="I29" s="52"/>
      <c r="J29" s="52"/>
    </row>
    <row r="30" ht="21.75" customHeight="1">
      <c r="A30" s="54"/>
      <c r="B30" s="54"/>
      <c r="C30" s="54"/>
      <c r="D30" s="54"/>
      <c r="E30" s="54"/>
      <c r="F30" s="54"/>
      <c r="G30" s="54"/>
      <c r="H30" s="53"/>
      <c r="I30" s="54"/>
      <c r="J30" s="54"/>
    </row>
    <row r="31" ht="21.75" customHeight="1">
      <c r="A31" s="52"/>
      <c r="B31" s="52"/>
      <c r="C31" s="52"/>
      <c r="D31" s="52"/>
      <c r="E31" s="52"/>
      <c r="F31" s="52"/>
      <c r="G31" s="52"/>
      <c r="H31" s="53"/>
      <c r="I31" s="52"/>
      <c r="J31" s="52"/>
    </row>
    <row r="32" ht="15.75" customHeight="1"/>
    <row r="33" ht="45.75" customHeight="1">
      <c r="A33" s="47" t="s">
        <v>183</v>
      </c>
      <c r="B33" s="7"/>
      <c r="C33" s="7"/>
      <c r="D33" s="7"/>
      <c r="E33" s="7"/>
      <c r="F33" s="7"/>
      <c r="G33" s="7"/>
      <c r="H33" s="7"/>
      <c r="I33" s="7"/>
      <c r="J33" s="8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J2"/>
    <mergeCell ref="A33:J33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0"/>
    <col customWidth="1" min="2" max="2" width="18.0"/>
    <col customWidth="1" min="3" max="3" width="8.0"/>
    <col customWidth="1" min="4" max="5" width="26.0"/>
    <col customWidth="1" min="6" max="6" width="10.0"/>
    <col customWidth="1" min="7" max="7" width="8.0"/>
    <col customWidth="1" min="8" max="8" width="10.0"/>
    <col customWidth="1" min="9" max="9" width="12.0"/>
    <col customWidth="1" min="10" max="10" width="14.0"/>
    <col customWidth="1" min="11" max="11" width="18.0"/>
    <col customWidth="1" min="12" max="12" width="16.0"/>
    <col customWidth="1" min="13" max="26" width="8.63"/>
  </cols>
  <sheetData>
    <row r="1" ht="36.0" customHeight="1">
      <c r="A1" s="6" t="s">
        <v>184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</row>
    <row r="2" ht="30.0" customHeight="1">
      <c r="A2" s="55" t="s">
        <v>185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</row>
    <row r="3" ht="39.75" customHeight="1">
      <c r="A3" s="10" t="s">
        <v>128</v>
      </c>
      <c r="B3" s="10" t="s">
        <v>95</v>
      </c>
      <c r="C3" s="10" t="s">
        <v>129</v>
      </c>
      <c r="D3" s="10" t="s">
        <v>93</v>
      </c>
      <c r="E3" s="10" t="s">
        <v>1</v>
      </c>
      <c r="F3" s="10" t="s">
        <v>0</v>
      </c>
      <c r="G3" s="10" t="s">
        <v>28</v>
      </c>
      <c r="H3" s="10" t="s">
        <v>186</v>
      </c>
      <c r="I3" s="10" t="s">
        <v>155</v>
      </c>
      <c r="J3" s="10" t="s">
        <v>187</v>
      </c>
      <c r="K3" s="10" t="s">
        <v>188</v>
      </c>
      <c r="L3" s="10" t="s">
        <v>189</v>
      </c>
    </row>
    <row r="4" ht="24.0" customHeight="1">
      <c r="A4" s="12">
        <v>1.0</v>
      </c>
      <c r="B4" s="15" t="s">
        <v>104</v>
      </c>
      <c r="C4" s="12">
        <v>1.0</v>
      </c>
      <c r="D4" s="13" t="s">
        <v>17</v>
      </c>
      <c r="E4" s="13" t="s">
        <v>16</v>
      </c>
      <c r="F4" s="11" t="s">
        <v>15</v>
      </c>
      <c r="G4" s="12">
        <v>2025.0</v>
      </c>
      <c r="H4" s="12">
        <f>COUNTIFS(DATA_RENAKSI!$B$4:$B$200,B4,DATA_RENAKSI!$E$4:$E$200,F4,DATA_RENAKSI!$F$4:$F$200,G4)</f>
        <v>3</v>
      </c>
      <c r="I4" s="12">
        <f>COUNTIFS(DATA_RENAKSI!$B$4:$B$200,B4,DATA_RENAKSI!$E$4:$E$200,F4,DATA_RENAKSI!$F$4:$F$200,G4,DATA_RENAKSI!$H$4:$H$200,"Terlaksana")</f>
        <v>2</v>
      </c>
      <c r="J4" s="56">
        <f t="shared" ref="J4:J11" si="1">IFERROR(I4/H4,0)</f>
        <v>0.6666666667</v>
      </c>
      <c r="K4" s="14" t="str">
        <f t="shared" ref="K4:K11" si="2">IF(H4=0,"Belum Diisi",IF(J4&gt;=0.8,"On Track",IF(J4&gt;=0.6,"Warning","Alert")))</f>
        <v>Warning</v>
      </c>
      <c r="L4" s="14" t="str">
        <f>IF(H4=0,"Belum Diisi",IF(COUNTIFS(DATA_RENAKSI!$B$4:$B$200,B4,DATA_RENAKSI!$E$4:$E$200,F4,DATA_RENAKSI!$F$4:$F$200,G4,DATA_RENAKSI!$H$4:$H$200,"")=0,"✅ Lengkap","❌ Ada yang kosong"))</f>
        <v>✅ Lengkap</v>
      </c>
    </row>
    <row r="5" ht="24.0" customHeight="1">
      <c r="A5" s="22">
        <v>2.0</v>
      </c>
      <c r="B5" s="25" t="s">
        <v>104</v>
      </c>
      <c r="C5" s="22">
        <v>1.0</v>
      </c>
      <c r="D5" s="23" t="s">
        <v>17</v>
      </c>
      <c r="E5" s="23" t="s">
        <v>23</v>
      </c>
      <c r="F5" s="21" t="s">
        <v>22</v>
      </c>
      <c r="G5" s="22">
        <v>2025.0</v>
      </c>
      <c r="H5" s="22">
        <f>COUNTIFS(DATA_RENAKSI!$B$4:$B$200,B5,DATA_RENAKSI!$E$4:$E$200,F5,DATA_RENAKSI!$F$4:$F$200,G5)</f>
        <v>2</v>
      </c>
      <c r="I5" s="22">
        <f>COUNTIFS(DATA_RENAKSI!$B$4:$B$200,B5,DATA_RENAKSI!$E$4:$E$200,F5,DATA_RENAKSI!$F$4:$F$200,G5,DATA_RENAKSI!$H$4:$H$200,"Terlaksana")</f>
        <v>2</v>
      </c>
      <c r="J5" s="57">
        <f t="shared" si="1"/>
        <v>1</v>
      </c>
      <c r="K5" s="24" t="str">
        <f t="shared" si="2"/>
        <v>On Track</v>
      </c>
      <c r="L5" s="24" t="str">
        <f>IF(H5=0,"Belum Diisi",IF(COUNTIFS(DATA_RENAKSI!$B$4:$B$200,B5,DATA_RENAKSI!$E$4:$E$200,F5,DATA_RENAKSI!$F$4:$F$200,G5,DATA_RENAKSI!$H$4:$H$200,"")=0,"✅ Lengkap","❌ Ada yang kosong"))</f>
        <v>✅ Lengkap</v>
      </c>
    </row>
    <row r="6" ht="24.0" customHeight="1">
      <c r="A6" s="12">
        <v>3.0</v>
      </c>
      <c r="B6" s="15" t="s">
        <v>115</v>
      </c>
      <c r="C6" s="12">
        <v>2.0</v>
      </c>
      <c r="D6" s="13" t="s">
        <v>27</v>
      </c>
      <c r="E6" s="13" t="s">
        <v>34</v>
      </c>
      <c r="F6" s="31" t="s">
        <v>33</v>
      </c>
      <c r="G6" s="12">
        <v>2025.0</v>
      </c>
      <c r="H6" s="12">
        <f>COUNTIFS(DATA_RENAKSI!$B$4:$B$200,B6,DATA_RENAKSI!$E$4:$E$200,F6,DATA_RENAKSI!$F$4:$F$200,G6)</f>
        <v>3</v>
      </c>
      <c r="I6" s="12">
        <f>COUNTIFS(DATA_RENAKSI!$B$4:$B$200,B6,DATA_RENAKSI!$E$4:$E$200,F6,DATA_RENAKSI!$F$4:$F$200,G6,DATA_RENAKSI!$H$4:$H$200,"Terlaksana")</f>
        <v>2</v>
      </c>
      <c r="J6" s="56">
        <f t="shared" si="1"/>
        <v>0.6666666667</v>
      </c>
      <c r="K6" s="14" t="str">
        <f t="shared" si="2"/>
        <v>Warning</v>
      </c>
      <c r="L6" s="14" t="str">
        <f>IF(H6=0,"Belum Diisi",IF(COUNTIFS(DATA_RENAKSI!$B$4:$B$200,B6,DATA_RENAKSI!$E$4:$E$200,F6,DATA_RENAKSI!$F$4:$F$200,G6,DATA_RENAKSI!$H$4:$H$200,"")=0,"✅ Lengkap","❌ Ada yang kosong"))</f>
        <v>✅ Lengkap</v>
      </c>
    </row>
    <row r="7" ht="24.0" customHeight="1">
      <c r="A7" s="22">
        <v>4.0</v>
      </c>
      <c r="B7" s="25" t="s">
        <v>115</v>
      </c>
      <c r="C7" s="22">
        <v>2.0</v>
      </c>
      <c r="D7" s="23" t="s">
        <v>27</v>
      </c>
      <c r="E7" s="23" t="s">
        <v>36</v>
      </c>
      <c r="F7" s="30" t="s">
        <v>35</v>
      </c>
      <c r="G7" s="22">
        <v>2025.0</v>
      </c>
      <c r="H7" s="22">
        <f>COUNTIFS(DATA_RENAKSI!$B$4:$B$200,B7,DATA_RENAKSI!$E$4:$E$200,F7,DATA_RENAKSI!$F$4:$F$200,G7)</f>
        <v>0</v>
      </c>
      <c r="I7" s="22">
        <f>COUNTIFS(DATA_RENAKSI!$B$4:$B$200,B7,DATA_RENAKSI!$E$4:$E$200,F7,DATA_RENAKSI!$F$4:$F$200,G7,DATA_RENAKSI!$H$4:$H$200,"Terlaksana")</f>
        <v>0</v>
      </c>
      <c r="J7" s="57">
        <f t="shared" si="1"/>
        <v>0</v>
      </c>
      <c r="K7" s="24" t="str">
        <f t="shared" si="2"/>
        <v>Belum Diisi</v>
      </c>
      <c r="L7" s="24" t="str">
        <f>IF(H7=0,"Belum Diisi",IF(COUNTIFS(DATA_RENAKSI!$B$4:$B$200,B7,DATA_RENAKSI!$E$4:$E$200,F7,DATA_RENAKSI!$F$4:$F$200,G7,DATA_RENAKSI!$H$4:$H$200,"")=0,"✅ Lengkap","❌ Ada yang kosong"))</f>
        <v>Belum Diisi</v>
      </c>
    </row>
    <row r="8" ht="24.0" customHeight="1">
      <c r="A8" s="12">
        <v>5.0</v>
      </c>
      <c r="B8" s="15" t="s">
        <v>116</v>
      </c>
      <c r="C8" s="12">
        <v>2.0</v>
      </c>
      <c r="D8" s="13" t="s">
        <v>27</v>
      </c>
      <c r="E8" s="13" t="s">
        <v>42</v>
      </c>
      <c r="F8" s="31" t="s">
        <v>41</v>
      </c>
      <c r="G8" s="12">
        <v>2025.0</v>
      </c>
      <c r="H8" s="12">
        <f>COUNTIFS(DATA_RENAKSI!$B$4:$B$200,B8,DATA_RENAKSI!$E$4:$E$200,F8,DATA_RENAKSI!$F$4:$F$200,G8)</f>
        <v>0</v>
      </c>
      <c r="I8" s="12">
        <f>COUNTIFS(DATA_RENAKSI!$B$4:$B$200,B8,DATA_RENAKSI!$E$4:$E$200,F8,DATA_RENAKSI!$F$4:$F$200,G8,DATA_RENAKSI!$H$4:$H$200,"Terlaksana")</f>
        <v>0</v>
      </c>
      <c r="J8" s="56">
        <f t="shared" si="1"/>
        <v>0</v>
      </c>
      <c r="K8" s="14" t="str">
        <f t="shared" si="2"/>
        <v>Belum Diisi</v>
      </c>
      <c r="L8" s="14" t="str">
        <f>IF(H8=0,"Belum Diisi",IF(COUNTIFS(DATA_RENAKSI!$B$4:$B$200,B8,DATA_RENAKSI!$E$4:$E$200,F8,DATA_RENAKSI!$F$4:$F$200,G8,DATA_RENAKSI!$H$4:$H$200,"")=0,"✅ Lengkap","❌ Ada yang kosong"))</f>
        <v>Belum Diisi</v>
      </c>
    </row>
    <row r="9" ht="24.0" customHeight="1">
      <c r="A9" s="22">
        <v>6.0</v>
      </c>
      <c r="B9" s="25" t="s">
        <v>104</v>
      </c>
      <c r="C9" s="22">
        <v>3.0</v>
      </c>
      <c r="D9" s="23" t="s">
        <v>62</v>
      </c>
      <c r="E9" s="23" t="s">
        <v>61</v>
      </c>
      <c r="F9" s="33" t="s">
        <v>60</v>
      </c>
      <c r="G9" s="22">
        <v>2025.0</v>
      </c>
      <c r="H9" s="22">
        <f>COUNTIFS(DATA_RENAKSI!$B$4:$B$200,B9,DATA_RENAKSI!$E$4:$E$200,F9,DATA_RENAKSI!$F$4:$F$200,G9)</f>
        <v>2</v>
      </c>
      <c r="I9" s="22">
        <f>COUNTIFS(DATA_RENAKSI!$B$4:$B$200,B9,DATA_RENAKSI!$E$4:$E$200,F9,DATA_RENAKSI!$F$4:$F$200,G9,DATA_RENAKSI!$H$4:$H$200,"Terlaksana")</f>
        <v>1</v>
      </c>
      <c r="J9" s="57">
        <f t="shared" si="1"/>
        <v>0.5</v>
      </c>
      <c r="K9" s="24" t="str">
        <f t="shared" si="2"/>
        <v>Alert</v>
      </c>
      <c r="L9" s="24" t="str">
        <f>IF(H9=0,"Belum Diisi",IF(COUNTIFS(DATA_RENAKSI!$B$4:$B$200,B9,DATA_RENAKSI!$E$4:$E$200,F9,DATA_RENAKSI!$F$4:$F$200,G9,DATA_RENAKSI!$H$4:$H$200,"")=0,"✅ Lengkap","❌ Ada yang kosong"))</f>
        <v>✅ Lengkap</v>
      </c>
    </row>
    <row r="10" ht="24.0" customHeight="1">
      <c r="A10" s="12">
        <v>7.0</v>
      </c>
      <c r="B10" s="15" t="s">
        <v>121</v>
      </c>
      <c r="C10" s="12">
        <v>5.0</v>
      </c>
      <c r="D10" s="13" t="s">
        <v>83</v>
      </c>
      <c r="E10" s="13" t="s">
        <v>82</v>
      </c>
      <c r="F10" s="37" t="s">
        <v>81</v>
      </c>
      <c r="G10" s="12">
        <v>2025.0</v>
      </c>
      <c r="H10" s="12">
        <f>COUNTIFS(DATA_RENAKSI!$B$4:$B$200,B10,DATA_RENAKSI!$E$4:$E$200,F10,DATA_RENAKSI!$F$4:$F$200,G10)</f>
        <v>3</v>
      </c>
      <c r="I10" s="12">
        <f>COUNTIFS(DATA_RENAKSI!$B$4:$B$200,B10,DATA_RENAKSI!$E$4:$E$200,F10,DATA_RENAKSI!$F$4:$F$200,G10,DATA_RENAKSI!$H$4:$H$200,"Terlaksana")</f>
        <v>3</v>
      </c>
      <c r="J10" s="56">
        <f t="shared" si="1"/>
        <v>1</v>
      </c>
      <c r="K10" s="14" t="str">
        <f t="shared" si="2"/>
        <v>On Track</v>
      </c>
      <c r="L10" s="14" t="str">
        <f>IF(H10=0,"Belum Diisi",IF(COUNTIFS(DATA_RENAKSI!$B$4:$B$200,B10,DATA_RENAKSI!$E$4:$E$200,F10,DATA_RENAKSI!$F$4:$F$200,G10,DATA_RENAKSI!$H$4:$H$200,"")=0,"✅ Lengkap","❌ Ada yang kosong"))</f>
        <v>✅ Lengkap</v>
      </c>
    </row>
    <row r="11" ht="24.0" customHeight="1">
      <c r="A11" s="22">
        <v>8.0</v>
      </c>
      <c r="B11" s="25" t="s">
        <v>121</v>
      </c>
      <c r="C11" s="22">
        <v>5.0</v>
      </c>
      <c r="D11" s="23" t="s">
        <v>83</v>
      </c>
      <c r="E11" s="23" t="s">
        <v>85</v>
      </c>
      <c r="F11" s="38" t="s">
        <v>84</v>
      </c>
      <c r="G11" s="22">
        <v>2025.0</v>
      </c>
      <c r="H11" s="22">
        <f>COUNTIFS(DATA_RENAKSI!$B$4:$B$200,B11,DATA_RENAKSI!$E$4:$E$200,F11,DATA_RENAKSI!$F$4:$F$200,G11)</f>
        <v>0</v>
      </c>
      <c r="I11" s="22">
        <f>COUNTIFS(DATA_RENAKSI!$B$4:$B$200,B11,DATA_RENAKSI!$E$4:$E$200,F11,DATA_RENAKSI!$F$4:$F$200,G11,DATA_RENAKSI!$H$4:$H$200,"Terlaksana")</f>
        <v>0</v>
      </c>
      <c r="J11" s="57">
        <f t="shared" si="1"/>
        <v>0</v>
      </c>
      <c r="K11" s="24" t="str">
        <f t="shared" si="2"/>
        <v>Belum Diisi</v>
      </c>
      <c r="L11" s="24" t="str">
        <f>IF(H11=0,"Belum Diisi",IF(COUNTIFS(DATA_RENAKSI!$B$4:$B$200,B11,DATA_RENAKSI!$E$4:$E$200,F11,DATA_RENAKSI!$F$4:$F$200,G11,DATA_RENAKSI!$H$4:$H$200,"")=0,"✅ Lengkap","❌ Ada yang kosong"))</f>
        <v>Belum Diisi</v>
      </c>
    </row>
    <row r="12" ht="39.75" customHeight="1">
      <c r="A12" s="47" t="s">
        <v>190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1"/>
    <mergeCell ref="A2:L2"/>
    <mergeCell ref="A12:L1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0"/>
    <col customWidth="1" min="2" max="2" width="26.0"/>
    <col customWidth="1" min="3" max="3" width="55.0"/>
    <col customWidth="1" min="4" max="4" width="30.0"/>
    <col customWidth="1" min="5" max="26" width="8.63"/>
  </cols>
  <sheetData>
    <row r="1" ht="39.75" customHeight="1">
      <c r="A1" s="58" t="s">
        <v>191</v>
      </c>
      <c r="B1" s="7"/>
      <c r="C1" s="7"/>
      <c r="D1" s="8"/>
    </row>
    <row r="2" ht="27.75" customHeight="1">
      <c r="A2" s="59" t="s">
        <v>192</v>
      </c>
      <c r="B2" s="40"/>
      <c r="C2" s="40"/>
      <c r="D2" s="41"/>
    </row>
    <row r="3" ht="27.75" customHeight="1">
      <c r="A3" s="60" t="s">
        <v>193</v>
      </c>
      <c r="B3" s="61" t="s">
        <v>194</v>
      </c>
      <c r="C3" s="62" t="s">
        <v>195</v>
      </c>
      <c r="D3" s="63" t="s">
        <v>196</v>
      </c>
    </row>
    <row r="4" ht="27.75" customHeight="1">
      <c r="A4" s="64" t="s">
        <v>197</v>
      </c>
      <c r="B4" s="40"/>
      <c r="C4" s="40"/>
      <c r="D4" s="41"/>
    </row>
    <row r="5" ht="27.75" customHeight="1">
      <c r="A5" s="65">
        <v>1.0</v>
      </c>
      <c r="B5" s="25" t="s">
        <v>198</v>
      </c>
      <c r="C5" s="23" t="s">
        <v>199</v>
      </c>
      <c r="D5" s="63" t="s">
        <v>200</v>
      </c>
    </row>
    <row r="6" ht="27.75" customHeight="1">
      <c r="A6" s="66">
        <v>2.0</v>
      </c>
      <c r="B6" s="15" t="s">
        <v>201</v>
      </c>
      <c r="C6" s="13" t="s">
        <v>202</v>
      </c>
      <c r="D6" s="63" t="s">
        <v>203</v>
      </c>
    </row>
    <row r="7" ht="27.75" customHeight="1">
      <c r="A7" s="65">
        <v>3.0</v>
      </c>
      <c r="B7" s="25" t="s">
        <v>204</v>
      </c>
      <c r="C7" s="23" t="s">
        <v>205</v>
      </c>
      <c r="D7" s="63" t="s">
        <v>206</v>
      </c>
    </row>
    <row r="8" ht="27.75" customHeight="1">
      <c r="A8" s="67" t="s">
        <v>207</v>
      </c>
      <c r="B8" s="40"/>
      <c r="C8" s="40"/>
      <c r="D8" s="41"/>
    </row>
    <row r="9" ht="27.75" customHeight="1">
      <c r="A9" s="65">
        <v>4.0</v>
      </c>
      <c r="B9" s="25" t="s">
        <v>208</v>
      </c>
      <c r="C9" s="23" t="s">
        <v>209</v>
      </c>
      <c r="D9" s="68" t="s">
        <v>157</v>
      </c>
    </row>
    <row r="10" ht="27.75" customHeight="1">
      <c r="A10" s="66">
        <v>5.0</v>
      </c>
      <c r="B10" s="15" t="s">
        <v>210</v>
      </c>
      <c r="C10" s="13" t="s">
        <v>211</v>
      </c>
      <c r="D10" s="63" t="s">
        <v>212</v>
      </c>
    </row>
    <row r="11" ht="27.75" customHeight="1">
      <c r="A11" s="65">
        <v>6.0</v>
      </c>
      <c r="B11" s="25" t="s">
        <v>213</v>
      </c>
      <c r="C11" s="23" t="s">
        <v>214</v>
      </c>
      <c r="D11" s="63" t="s">
        <v>215</v>
      </c>
    </row>
    <row r="12" ht="27.75" customHeight="1">
      <c r="A12" s="66">
        <v>7.0</v>
      </c>
      <c r="B12" s="15" t="s">
        <v>216</v>
      </c>
      <c r="C12" s="13" t="s">
        <v>217</v>
      </c>
      <c r="D12" s="69" t="s">
        <v>157</v>
      </c>
    </row>
    <row r="13" ht="27.75" customHeight="1">
      <c r="A13" s="65">
        <v>8.0</v>
      </c>
      <c r="B13" s="25" t="s">
        <v>218</v>
      </c>
      <c r="C13" s="23" t="s">
        <v>219</v>
      </c>
      <c r="D13" s="63" t="s">
        <v>220</v>
      </c>
    </row>
    <row r="14" ht="27.75" customHeight="1">
      <c r="A14" s="70" t="s">
        <v>221</v>
      </c>
      <c r="B14" s="40"/>
      <c r="C14" s="40"/>
      <c r="D14" s="41"/>
    </row>
    <row r="15" ht="27.75" customHeight="1">
      <c r="A15" s="65">
        <v>9.0</v>
      </c>
      <c r="B15" s="25" t="s">
        <v>222</v>
      </c>
      <c r="C15" s="23" t="s">
        <v>223</v>
      </c>
      <c r="D15" s="68" t="s">
        <v>157</v>
      </c>
    </row>
    <row r="16" ht="27.75" customHeight="1">
      <c r="A16" s="66">
        <v>10.0</v>
      </c>
      <c r="B16" s="15" t="s">
        <v>224</v>
      </c>
      <c r="C16" s="13" t="s">
        <v>225</v>
      </c>
      <c r="D16" s="69" t="s">
        <v>157</v>
      </c>
    </row>
    <row r="17" ht="27.75" customHeight="1">
      <c r="A17" s="65">
        <v>11.0</v>
      </c>
      <c r="B17" s="25" t="s">
        <v>226</v>
      </c>
      <c r="C17" s="23" t="s">
        <v>227</v>
      </c>
      <c r="D17" s="68" t="s">
        <v>157</v>
      </c>
    </row>
    <row r="18" ht="27.75" customHeight="1">
      <c r="A18" s="66">
        <v>12.0</v>
      </c>
      <c r="B18" s="15" t="s">
        <v>228</v>
      </c>
      <c r="C18" s="13" t="s">
        <v>229</v>
      </c>
      <c r="D18" s="69" t="s">
        <v>157</v>
      </c>
    </row>
    <row r="19" ht="27.75" customHeight="1">
      <c r="A19" s="65">
        <v>13.0</v>
      </c>
      <c r="B19" s="25" t="s">
        <v>230</v>
      </c>
      <c r="C19" s="23" t="s">
        <v>231</v>
      </c>
      <c r="D19" s="68" t="s">
        <v>157</v>
      </c>
    </row>
    <row r="20" ht="27.75" customHeight="1">
      <c r="A20" s="71" t="s">
        <v>232</v>
      </c>
      <c r="B20" s="40"/>
      <c r="C20" s="40"/>
      <c r="D20" s="41"/>
    </row>
    <row r="21" ht="27.75" customHeight="1">
      <c r="A21" s="65">
        <v>14.0</v>
      </c>
      <c r="B21" s="25" t="s">
        <v>233</v>
      </c>
      <c r="C21" s="23" t="s">
        <v>234</v>
      </c>
      <c r="D21" s="68" t="s">
        <v>157</v>
      </c>
    </row>
    <row r="22" ht="27.75" customHeight="1">
      <c r="A22" s="66">
        <v>15.0</v>
      </c>
      <c r="B22" s="15" t="s">
        <v>235</v>
      </c>
      <c r="C22" s="13" t="s">
        <v>236</v>
      </c>
      <c r="D22" s="63" t="s">
        <v>237</v>
      </c>
    </row>
    <row r="23" ht="27.75" customHeight="1">
      <c r="A23" s="65">
        <v>16.0</v>
      </c>
      <c r="B23" s="25" t="s">
        <v>238</v>
      </c>
      <c r="C23" s="23" t="s">
        <v>239</v>
      </c>
      <c r="D23" s="63" t="s">
        <v>240</v>
      </c>
    </row>
    <row r="24" ht="27.75" customHeight="1">
      <c r="A24" s="72" t="s">
        <v>241</v>
      </c>
      <c r="B24" s="40"/>
      <c r="C24" s="40"/>
      <c r="D24" s="41"/>
    </row>
    <row r="25" ht="27.75" customHeight="1">
      <c r="A25" s="65">
        <v>17.0</v>
      </c>
      <c r="B25" s="25" t="s">
        <v>242</v>
      </c>
      <c r="C25" s="23" t="s">
        <v>243</v>
      </c>
      <c r="D25" s="68" t="s">
        <v>157</v>
      </c>
    </row>
    <row r="26" ht="27.75" customHeight="1">
      <c r="A26" s="66">
        <v>18.0</v>
      </c>
      <c r="B26" s="15" t="s">
        <v>244</v>
      </c>
      <c r="C26" s="13" t="s">
        <v>245</v>
      </c>
      <c r="D26" s="69" t="s">
        <v>157</v>
      </c>
    </row>
    <row r="27" ht="27.75" customHeight="1">
      <c r="A27" s="65">
        <v>19.0</v>
      </c>
      <c r="B27" s="25" t="s">
        <v>246</v>
      </c>
      <c r="C27" s="23" t="s">
        <v>247</v>
      </c>
      <c r="D27" s="68" t="s">
        <v>157</v>
      </c>
    </row>
    <row r="28" ht="27.75" customHeight="1">
      <c r="A28" s="66">
        <v>20.0</v>
      </c>
      <c r="B28" s="15" t="s">
        <v>248</v>
      </c>
      <c r="C28" s="13" t="s">
        <v>249</v>
      </c>
      <c r="D28" s="69" t="s">
        <v>157</v>
      </c>
    </row>
    <row r="29" ht="27.75" customHeight="1">
      <c r="A29" s="65">
        <v>21.0</v>
      </c>
      <c r="B29" s="25" t="s">
        <v>250</v>
      </c>
      <c r="C29" s="23" t="s">
        <v>251</v>
      </c>
      <c r="D29" s="68" t="s">
        <v>157</v>
      </c>
    </row>
    <row r="30" ht="27.75" customHeight="1">
      <c r="A30" s="66">
        <v>22.0</v>
      </c>
      <c r="B30" s="15" t="s">
        <v>252</v>
      </c>
      <c r="C30" s="13" t="s">
        <v>253</v>
      </c>
      <c r="D30" s="63" t="s">
        <v>254</v>
      </c>
    </row>
    <row r="31" ht="27.75" customHeight="1">
      <c r="A31" s="59" t="s">
        <v>255</v>
      </c>
      <c r="B31" s="40"/>
      <c r="C31" s="40"/>
      <c r="D31" s="41"/>
    </row>
    <row r="32" ht="27.75" customHeight="1">
      <c r="A32" s="66">
        <v>23.0</v>
      </c>
      <c r="B32" s="15" t="s">
        <v>256</v>
      </c>
      <c r="C32" s="13" t="s">
        <v>257</v>
      </c>
      <c r="D32" s="69" t="s">
        <v>157</v>
      </c>
    </row>
    <row r="33" ht="27.75" customHeight="1">
      <c r="A33" s="65">
        <v>24.0</v>
      </c>
      <c r="B33" s="25" t="s">
        <v>258</v>
      </c>
      <c r="C33" s="23" t="s">
        <v>259</v>
      </c>
      <c r="D33" s="68" t="s">
        <v>157</v>
      </c>
    </row>
    <row r="34" ht="27.75" customHeight="1">
      <c r="A34" s="66">
        <v>25.0</v>
      </c>
      <c r="B34" s="15" t="s">
        <v>260</v>
      </c>
      <c r="C34" s="13" t="s">
        <v>261</v>
      </c>
      <c r="D34" s="63" t="s">
        <v>262</v>
      </c>
    </row>
    <row r="35" ht="27.75" customHeight="1">
      <c r="A35" s="59" t="s">
        <v>263</v>
      </c>
      <c r="B35" s="40"/>
      <c r="C35" s="40"/>
      <c r="D35" s="41"/>
    </row>
    <row r="36" ht="27.75" customHeight="1">
      <c r="A36" s="60" t="s">
        <v>193</v>
      </c>
      <c r="B36" s="61" t="s">
        <v>264</v>
      </c>
      <c r="C36" s="62" t="s">
        <v>265</v>
      </c>
      <c r="D36" s="63" t="s">
        <v>266</v>
      </c>
    </row>
    <row r="37" ht="27.75" customHeight="1">
      <c r="A37" s="60" t="s">
        <v>193</v>
      </c>
      <c r="B37" s="61" t="s">
        <v>267</v>
      </c>
      <c r="C37" s="62" t="s">
        <v>268</v>
      </c>
      <c r="D37" s="63" t="s">
        <v>269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31:D31"/>
    <mergeCell ref="A35:D35"/>
    <mergeCell ref="A1:D1"/>
    <mergeCell ref="A2:D2"/>
    <mergeCell ref="A4:D4"/>
    <mergeCell ref="A8:D8"/>
    <mergeCell ref="A14:D14"/>
    <mergeCell ref="A20:D20"/>
    <mergeCell ref="A24:D24"/>
  </mergeCells>
  <printOptions/>
  <pageMargins bottom="1.0" footer="0.0" header="0.0" left="0.75" right="0.75" top="1.0"/>
  <pageSetup paperSize="9" orientation="portrait"/>
  <drawing r:id="rId1"/>
</worksheet>
</file>